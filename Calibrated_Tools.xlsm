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evioncom-my.sharepoint.com/personal/xihao_han_mevion_com/Documents/Installation/Share/Tools/"/>
    </mc:Choice>
  </mc:AlternateContent>
  <xr:revisionPtr revIDLastSave="1696" documentId="8_{DC8D8986-44AE-4B87-BF20-0A4C6F9C1070}" xr6:coauthVersionLast="47" xr6:coauthVersionMax="47" xr10:uidLastSave="{ED361BF3-6936-45FC-B47D-D7E37D70D066}"/>
  <bookViews>
    <workbookView xWindow="-110" yWindow="-110" windowWidth="19420" windowHeight="11500" xr2:uid="{00000000-000D-0000-FFFF-FFFF00000000}"/>
  </bookViews>
  <sheets>
    <sheet name="Calibrated Tools Register" sheetId="1" r:id="rId1"/>
    <sheet name="Calibration Schedule" sheetId="2" r:id="rId2"/>
    <sheet name="Calibration Status Summary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M5" i="1" l="1"/>
  <c r="N5" i="1" s="1"/>
  <c r="M6" i="1"/>
  <c r="M7" i="1"/>
  <c r="M8" i="1"/>
  <c r="N8" i="1" s="1"/>
  <c r="M9" i="1"/>
  <c r="N9" i="1" s="1"/>
  <c r="M10" i="1"/>
  <c r="M11" i="1"/>
  <c r="N11" i="1" s="1"/>
  <c r="M12" i="1"/>
  <c r="M13" i="1"/>
  <c r="N13" i="1" s="1"/>
  <c r="M14" i="1"/>
  <c r="N14" i="1" s="1"/>
  <c r="M15" i="1"/>
  <c r="N15" i="1" s="1"/>
  <c r="M16" i="1"/>
  <c r="N16" i="1" s="1"/>
  <c r="M17" i="1"/>
  <c r="N17" i="1" s="1"/>
  <c r="M18" i="1"/>
  <c r="N18" i="1" s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N31" i="1" s="1"/>
  <c r="M32" i="1"/>
  <c r="N32" i="1" s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N45" i="1" s="1"/>
  <c r="M46" i="1"/>
  <c r="N46" i="1" s="1"/>
  <c r="M47" i="1"/>
  <c r="N47" i="1" s="1"/>
  <c r="M48" i="1"/>
  <c r="M49" i="1"/>
  <c r="M50" i="1"/>
  <c r="M51" i="1"/>
  <c r="M52" i="1"/>
  <c r="M53" i="1"/>
  <c r="M54" i="1"/>
  <c r="M55" i="1"/>
  <c r="M56" i="1"/>
  <c r="N56" i="1" s="1"/>
  <c r="M57" i="1"/>
  <c r="M58" i="1"/>
  <c r="M59" i="1"/>
  <c r="N59" i="1" s="1"/>
  <c r="M60" i="1"/>
  <c r="N60" i="1" s="1"/>
  <c r="M61" i="1"/>
  <c r="N61" i="1" s="1"/>
  <c r="M62" i="1"/>
  <c r="M63" i="1"/>
  <c r="M64" i="1"/>
  <c r="M65" i="1"/>
  <c r="M66" i="1"/>
  <c r="M67" i="1"/>
  <c r="M68" i="1"/>
  <c r="M69" i="1"/>
  <c r="M70" i="1"/>
  <c r="N70" i="1" s="1"/>
  <c r="M71" i="1"/>
  <c r="M72" i="1"/>
  <c r="N72" i="1" s="1"/>
  <c r="M73" i="1"/>
  <c r="N73" i="1" s="1"/>
  <c r="M74" i="1"/>
  <c r="N74" i="1" s="1"/>
  <c r="M75" i="1"/>
  <c r="N75" i="1" s="1"/>
  <c r="M76" i="1"/>
  <c r="M77" i="1"/>
  <c r="M78" i="1"/>
  <c r="M79" i="1"/>
  <c r="M80" i="1"/>
  <c r="M81" i="1"/>
  <c r="M82" i="1"/>
  <c r="M83" i="1"/>
  <c r="M84" i="1"/>
  <c r="M85" i="1"/>
  <c r="N85" i="1" s="1"/>
  <c r="M86" i="1"/>
  <c r="M87" i="1"/>
  <c r="N87" i="1" s="1"/>
  <c r="M88" i="1"/>
  <c r="N88" i="1" s="1"/>
  <c r="M89" i="1"/>
  <c r="N89" i="1" s="1"/>
  <c r="M90" i="1"/>
  <c r="M91" i="1"/>
  <c r="M92" i="1"/>
  <c r="M93" i="1"/>
  <c r="M94" i="1"/>
  <c r="M95" i="1"/>
  <c r="M96" i="1"/>
  <c r="M97" i="1"/>
  <c r="M98" i="1"/>
  <c r="M99" i="1"/>
  <c r="M100" i="1"/>
  <c r="M101" i="1"/>
  <c r="N101" i="1" s="1"/>
  <c r="M102" i="1"/>
  <c r="N102" i="1" s="1"/>
  <c r="M103" i="1"/>
  <c r="N103" i="1" s="1"/>
  <c r="M104" i="1"/>
  <c r="M105" i="1"/>
  <c r="M106" i="1"/>
  <c r="M107" i="1"/>
  <c r="M108" i="1"/>
  <c r="M109" i="1"/>
  <c r="M110" i="1"/>
  <c r="M111" i="1"/>
  <c r="M112" i="1"/>
  <c r="N112" i="1" s="1"/>
  <c r="M113" i="1"/>
  <c r="M114" i="1"/>
  <c r="M115" i="1"/>
  <c r="N115" i="1" s="1"/>
  <c r="M116" i="1"/>
  <c r="N116" i="1" s="1"/>
  <c r="M117" i="1"/>
  <c r="M118" i="1"/>
  <c r="M119" i="1"/>
  <c r="M120" i="1"/>
  <c r="M121" i="1"/>
  <c r="M122" i="1"/>
  <c r="M123" i="1"/>
  <c r="M124" i="1"/>
  <c r="M125" i="1"/>
  <c r="N125" i="1" s="1"/>
  <c r="M126" i="1"/>
  <c r="N126" i="1" s="1"/>
  <c r="M127" i="1"/>
  <c r="M128" i="1"/>
  <c r="M129" i="1"/>
  <c r="N129" i="1" s="1"/>
  <c r="M130" i="1"/>
  <c r="N130" i="1" s="1"/>
  <c r="M131" i="1"/>
  <c r="N131" i="1" s="1"/>
  <c r="M132" i="1"/>
  <c r="M133" i="1"/>
  <c r="M134" i="1"/>
  <c r="M135" i="1"/>
  <c r="M136" i="1"/>
  <c r="M137" i="1"/>
  <c r="M138" i="1"/>
  <c r="M139" i="1"/>
  <c r="M140" i="1"/>
  <c r="N140" i="1" s="1"/>
  <c r="M141" i="1"/>
  <c r="N141" i="1" s="1"/>
  <c r="M142" i="1"/>
  <c r="M143" i="1"/>
  <c r="N143" i="1" s="1"/>
  <c r="M144" i="1"/>
  <c r="N144" i="1" s="1"/>
  <c r="M145" i="1"/>
  <c r="N145" i="1" s="1"/>
  <c r="M146" i="1"/>
  <c r="M147" i="1"/>
  <c r="M148" i="1"/>
  <c r="M149" i="1"/>
  <c r="M150" i="1"/>
  <c r="M151" i="1"/>
  <c r="M152" i="1"/>
  <c r="N152" i="1" s="1"/>
  <c r="M153" i="1"/>
  <c r="M154" i="1"/>
  <c r="N154" i="1" s="1"/>
  <c r="M155" i="1"/>
  <c r="N155" i="1" s="1"/>
  <c r="M156" i="1"/>
  <c r="N156" i="1" s="1"/>
  <c r="M157" i="1"/>
  <c r="N157" i="1" s="1"/>
  <c r="M158" i="1"/>
  <c r="N158" i="1" s="1"/>
  <c r="M159" i="1"/>
  <c r="N159" i="1" s="1"/>
  <c r="M160" i="1"/>
  <c r="M161" i="1"/>
  <c r="M162" i="1"/>
  <c r="M163" i="1"/>
  <c r="M164" i="1"/>
  <c r="M165" i="1"/>
  <c r="M166" i="1"/>
  <c r="N166" i="1" s="1"/>
  <c r="M167" i="1"/>
  <c r="N167" i="1" s="1"/>
  <c r="M168" i="1"/>
  <c r="N168" i="1" s="1"/>
  <c r="M169" i="1"/>
  <c r="M170" i="1"/>
  <c r="N170" i="1" s="1"/>
  <c r="M171" i="1"/>
  <c r="N171" i="1" s="1"/>
  <c r="M172" i="1"/>
  <c r="N172" i="1" s="1"/>
  <c r="M173" i="1"/>
  <c r="N173" i="1" s="1"/>
  <c r="M174" i="1"/>
  <c r="M175" i="1"/>
  <c r="M176" i="1"/>
  <c r="M177" i="1"/>
  <c r="M178" i="1"/>
  <c r="N178" i="1" s="1"/>
  <c r="M179" i="1"/>
  <c r="M180" i="1"/>
  <c r="M181" i="1"/>
  <c r="M182" i="1"/>
  <c r="M183" i="1"/>
  <c r="N183" i="1" s="1"/>
  <c r="M184" i="1"/>
  <c r="M185" i="1"/>
  <c r="N185" i="1" s="1"/>
  <c r="M186" i="1"/>
  <c r="N186" i="1" s="1"/>
  <c r="M187" i="1"/>
  <c r="N187" i="1" s="1"/>
  <c r="M188" i="1"/>
  <c r="M189" i="1"/>
  <c r="M190" i="1"/>
  <c r="M191" i="1"/>
  <c r="M192" i="1"/>
  <c r="M193" i="1"/>
  <c r="M194" i="1"/>
  <c r="M195" i="1"/>
  <c r="N195" i="1" s="1"/>
  <c r="M196" i="1"/>
  <c r="N196" i="1" s="1"/>
  <c r="M197" i="1"/>
  <c r="M198" i="1"/>
  <c r="N198" i="1" s="1"/>
  <c r="M199" i="1"/>
  <c r="N199" i="1" s="1"/>
  <c r="M200" i="1"/>
  <c r="N200" i="1" s="1"/>
  <c r="M201" i="1"/>
  <c r="N201" i="1" s="1"/>
  <c r="M202" i="1"/>
  <c r="M203" i="1"/>
  <c r="M204" i="1"/>
  <c r="M205" i="1"/>
  <c r="M206" i="1"/>
  <c r="M207" i="1"/>
  <c r="M208" i="1"/>
  <c r="M209" i="1"/>
  <c r="M210" i="1"/>
  <c r="N210" i="1" s="1"/>
  <c r="M211" i="1"/>
  <c r="M212" i="1"/>
  <c r="N212" i="1" s="1"/>
  <c r="M213" i="1"/>
  <c r="N213" i="1" s="1"/>
  <c r="M214" i="1"/>
  <c r="N214" i="1" s="1"/>
  <c r="M215" i="1"/>
  <c r="N215" i="1" s="1"/>
  <c r="M216" i="1"/>
  <c r="M217" i="1"/>
  <c r="M218" i="1"/>
  <c r="M219" i="1"/>
  <c r="M220" i="1"/>
  <c r="M221" i="1"/>
  <c r="M222" i="1"/>
  <c r="M223" i="1"/>
  <c r="N223" i="1" s="1"/>
  <c r="M224" i="1"/>
  <c r="M225" i="1"/>
  <c r="N225" i="1" s="1"/>
  <c r="M226" i="1"/>
  <c r="N226" i="1" s="1"/>
  <c r="M227" i="1"/>
  <c r="N227" i="1" s="1"/>
  <c r="M228" i="1"/>
  <c r="N228" i="1" s="1"/>
  <c r="M229" i="1"/>
  <c r="N229" i="1" s="1"/>
  <c r="M230" i="1"/>
  <c r="M231" i="1"/>
  <c r="M232" i="1"/>
  <c r="M233" i="1"/>
  <c r="M234" i="1"/>
  <c r="M235" i="1"/>
  <c r="M236" i="1"/>
  <c r="M237" i="1"/>
  <c r="M238" i="1"/>
  <c r="N238" i="1" s="1"/>
  <c r="M239" i="1"/>
  <c r="N239" i="1" s="1"/>
  <c r="M240" i="1"/>
  <c r="N240" i="1" s="1"/>
  <c r="M241" i="1"/>
  <c r="N241" i="1" s="1"/>
  <c r="M242" i="1"/>
  <c r="N242" i="1" s="1"/>
  <c r="M243" i="1"/>
  <c r="N243" i="1" s="1"/>
  <c r="M244" i="1"/>
  <c r="M245" i="1"/>
  <c r="M246" i="1"/>
  <c r="M247" i="1"/>
  <c r="M248" i="1"/>
  <c r="M249" i="1"/>
  <c r="M250" i="1"/>
  <c r="M251" i="1"/>
  <c r="M252" i="1"/>
  <c r="N252" i="1" s="1"/>
  <c r="M253" i="1"/>
  <c r="M254" i="1"/>
  <c r="N254" i="1" s="1"/>
  <c r="M255" i="1"/>
  <c r="N255" i="1" s="1"/>
  <c r="M256" i="1"/>
  <c r="N256" i="1" s="1"/>
  <c r="M257" i="1"/>
  <c r="N257" i="1" s="1"/>
  <c r="M258" i="1"/>
  <c r="M259" i="1"/>
  <c r="M260" i="1"/>
  <c r="M261" i="1"/>
  <c r="M262" i="1"/>
  <c r="M263" i="1"/>
  <c r="M264" i="1"/>
  <c r="M265" i="1"/>
  <c r="M266" i="1"/>
  <c r="M267" i="1"/>
  <c r="M268" i="1"/>
  <c r="N268" i="1" s="1"/>
  <c r="M269" i="1"/>
  <c r="N269" i="1" s="1"/>
  <c r="M270" i="1"/>
  <c r="N270" i="1" s="1"/>
  <c r="M271" i="1"/>
  <c r="N271" i="1" s="1"/>
  <c r="M272" i="1"/>
  <c r="M273" i="1"/>
  <c r="M274" i="1"/>
  <c r="M275" i="1"/>
  <c r="M276" i="1"/>
  <c r="M277" i="1"/>
  <c r="M278" i="1"/>
  <c r="M279" i="1"/>
  <c r="M280" i="1"/>
  <c r="N280" i="1" s="1"/>
  <c r="M281" i="1"/>
  <c r="M282" i="1"/>
  <c r="N282" i="1" s="1"/>
  <c r="M283" i="1"/>
  <c r="N283" i="1" s="1"/>
  <c r="M284" i="1"/>
  <c r="N284" i="1" s="1"/>
  <c r="M285" i="1"/>
  <c r="N285" i="1" s="1"/>
  <c r="M286" i="1"/>
  <c r="M287" i="1"/>
  <c r="M288" i="1"/>
  <c r="M289" i="1"/>
  <c r="M290" i="1"/>
  <c r="M291" i="1"/>
  <c r="N291" i="1" s="1"/>
  <c r="M292" i="1"/>
  <c r="M293" i="1"/>
  <c r="M294" i="1"/>
  <c r="N294" i="1" s="1"/>
  <c r="M295" i="1"/>
  <c r="M296" i="1"/>
  <c r="M297" i="1"/>
  <c r="N297" i="1" s="1"/>
  <c r="M298" i="1"/>
  <c r="N298" i="1" s="1"/>
  <c r="M299" i="1"/>
  <c r="N299" i="1" s="1"/>
  <c r="M300" i="1"/>
  <c r="M301" i="1"/>
  <c r="M302" i="1"/>
  <c r="M303" i="1"/>
  <c r="M304" i="1"/>
  <c r="M305" i="1"/>
  <c r="M306" i="1"/>
  <c r="M307" i="1"/>
  <c r="M308" i="1"/>
  <c r="N308" i="1" s="1"/>
  <c r="M309" i="1"/>
  <c r="M310" i="1"/>
  <c r="M311" i="1"/>
  <c r="N311" i="1" s="1"/>
  <c r="M312" i="1"/>
  <c r="N312" i="1" s="1"/>
  <c r="M313" i="1"/>
  <c r="N313" i="1" s="1"/>
  <c r="M314" i="1"/>
  <c r="M315" i="1"/>
  <c r="M316" i="1"/>
  <c r="M317" i="1"/>
  <c r="M318" i="1"/>
  <c r="M319" i="1"/>
  <c r="M320" i="1"/>
  <c r="M321" i="1"/>
  <c r="M322" i="1"/>
  <c r="N322" i="1" s="1"/>
  <c r="M323" i="1"/>
  <c r="M324" i="1"/>
  <c r="N324" i="1" s="1"/>
  <c r="M325" i="1"/>
  <c r="N325" i="1" s="1"/>
  <c r="M326" i="1"/>
  <c r="N326" i="1" s="1"/>
  <c r="M327" i="1"/>
  <c r="N327" i="1" s="1"/>
  <c r="M328" i="1"/>
  <c r="M329" i="1"/>
  <c r="M330" i="1"/>
  <c r="M331" i="1"/>
  <c r="M332" i="1"/>
  <c r="M333" i="1"/>
  <c r="M334" i="1"/>
  <c r="M335" i="1"/>
  <c r="M336" i="1"/>
  <c r="N336" i="1" s="1"/>
  <c r="M337" i="1"/>
  <c r="M338" i="1"/>
  <c r="N338" i="1" s="1"/>
  <c r="M339" i="1"/>
  <c r="N339" i="1" s="1"/>
  <c r="M340" i="1"/>
  <c r="N340" i="1" s="1"/>
  <c r="M341" i="1"/>
  <c r="N341" i="1" s="1"/>
  <c r="M342" i="1"/>
  <c r="M343" i="1"/>
  <c r="M344" i="1"/>
  <c r="M345" i="1"/>
  <c r="M346" i="1"/>
  <c r="M347" i="1"/>
  <c r="M348" i="1"/>
  <c r="M349" i="1"/>
  <c r="M350" i="1"/>
  <c r="M351" i="1"/>
  <c r="M352" i="1"/>
  <c r="N352" i="1" s="1"/>
  <c r="M353" i="1"/>
  <c r="N353" i="1" s="1"/>
  <c r="M354" i="1"/>
  <c r="N354" i="1" s="1"/>
  <c r="M355" i="1"/>
  <c r="N355" i="1" s="1"/>
  <c r="M356" i="1"/>
  <c r="M357" i="1"/>
  <c r="M358" i="1"/>
  <c r="M359" i="1"/>
  <c r="M360" i="1"/>
  <c r="M361" i="1"/>
  <c r="M362" i="1"/>
  <c r="M363" i="1"/>
  <c r="M364" i="1"/>
  <c r="N364" i="1" s="1"/>
  <c r="M365" i="1"/>
  <c r="M366" i="1"/>
  <c r="N366" i="1" s="1"/>
  <c r="M367" i="1"/>
  <c r="N367" i="1" s="1"/>
  <c r="M368" i="1"/>
  <c r="N368" i="1" s="1"/>
  <c r="M369" i="1"/>
  <c r="N369" i="1" s="1"/>
  <c r="M370" i="1"/>
  <c r="M371" i="1"/>
  <c r="M372" i="1"/>
  <c r="M373" i="1"/>
  <c r="M374" i="1"/>
  <c r="M375" i="1"/>
  <c r="N375" i="1" s="1"/>
  <c r="M376" i="1"/>
  <c r="M377" i="1"/>
  <c r="M378" i="1"/>
  <c r="N378" i="1" s="1"/>
  <c r="M379" i="1"/>
  <c r="M380" i="1"/>
  <c r="N380" i="1" s="1"/>
  <c r="M381" i="1"/>
  <c r="N381" i="1" s="1"/>
  <c r="M382" i="1"/>
  <c r="N382" i="1" s="1"/>
  <c r="M383" i="1"/>
  <c r="N383" i="1" s="1"/>
  <c r="M384" i="1"/>
  <c r="M385" i="1"/>
  <c r="M386" i="1"/>
  <c r="M387" i="1"/>
  <c r="M388" i="1"/>
  <c r="M389" i="1"/>
  <c r="M390" i="1"/>
  <c r="M391" i="1"/>
  <c r="M392" i="1"/>
  <c r="N392" i="1" s="1"/>
  <c r="M393" i="1"/>
  <c r="M394" i="1"/>
  <c r="N394" i="1" s="1"/>
  <c r="M395" i="1"/>
  <c r="N395" i="1" s="1"/>
  <c r="M396" i="1"/>
  <c r="N396" i="1" s="1"/>
  <c r="M397" i="1"/>
  <c r="N397" i="1" s="1"/>
  <c r="M398" i="1"/>
  <c r="M399" i="1"/>
  <c r="M400" i="1"/>
  <c r="M401" i="1"/>
  <c r="M402" i="1"/>
  <c r="M403" i="1"/>
  <c r="M404" i="1"/>
  <c r="M405" i="1"/>
  <c r="M406" i="1"/>
  <c r="N406" i="1" s="1"/>
  <c r="M407" i="1"/>
  <c r="M408" i="1"/>
  <c r="M409" i="1"/>
  <c r="N409" i="1" s="1"/>
  <c r="M410" i="1"/>
  <c r="N410" i="1" s="1"/>
  <c r="M411" i="1"/>
  <c r="N411" i="1" s="1"/>
  <c r="M412" i="1"/>
  <c r="M413" i="1"/>
  <c r="M414" i="1"/>
  <c r="M415" i="1"/>
  <c r="M416" i="1"/>
  <c r="M417" i="1"/>
  <c r="N417" i="1" s="1"/>
  <c r="M418" i="1"/>
  <c r="M419" i="1"/>
  <c r="M420" i="1"/>
  <c r="N420" i="1" s="1"/>
  <c r="M421" i="1"/>
  <c r="M422" i="1"/>
  <c r="N422" i="1" s="1"/>
  <c r="M423" i="1"/>
  <c r="N423" i="1" s="1"/>
  <c r="M424" i="1"/>
  <c r="N424" i="1" s="1"/>
  <c r="M425" i="1"/>
  <c r="N425" i="1" s="1"/>
  <c r="M426" i="1"/>
  <c r="M427" i="1"/>
  <c r="M428" i="1"/>
  <c r="M429" i="1"/>
  <c r="M430" i="1"/>
  <c r="M431" i="1"/>
  <c r="M432" i="1"/>
  <c r="M433" i="1"/>
  <c r="M434" i="1"/>
  <c r="N434" i="1" s="1"/>
  <c r="M435" i="1"/>
  <c r="M436" i="1"/>
  <c r="N436" i="1" s="1"/>
  <c r="M437" i="1"/>
  <c r="N437" i="1" s="1"/>
  <c r="M438" i="1"/>
  <c r="N438" i="1" s="1"/>
  <c r="M439" i="1"/>
  <c r="N439" i="1" s="1"/>
  <c r="M440" i="1"/>
  <c r="M441" i="1"/>
  <c r="M442" i="1"/>
  <c r="M443" i="1"/>
  <c r="M444" i="1"/>
  <c r="M445" i="1"/>
  <c r="M446" i="1"/>
  <c r="M447" i="1"/>
  <c r="M448" i="1"/>
  <c r="N448" i="1" s="1"/>
  <c r="M449" i="1"/>
  <c r="M450" i="1"/>
  <c r="N450" i="1" s="1"/>
  <c r="M451" i="1"/>
  <c r="N451" i="1" s="1"/>
  <c r="M452" i="1"/>
  <c r="N452" i="1" s="1"/>
  <c r="M453" i="1"/>
  <c r="N453" i="1" s="1"/>
  <c r="M454" i="1"/>
  <c r="M455" i="1"/>
  <c r="M456" i="1"/>
  <c r="M457" i="1"/>
  <c r="M458" i="1"/>
  <c r="M459" i="1"/>
  <c r="N459" i="1" s="1"/>
  <c r="M460" i="1"/>
  <c r="M461" i="1"/>
  <c r="M462" i="1"/>
  <c r="M463" i="1"/>
  <c r="M464" i="1"/>
  <c r="N464" i="1" s="1"/>
  <c r="M465" i="1"/>
  <c r="N465" i="1" s="1"/>
  <c r="M466" i="1"/>
  <c r="N466" i="1" s="1"/>
  <c r="M467" i="1"/>
  <c r="N467" i="1" s="1"/>
  <c r="M468" i="1"/>
  <c r="M469" i="1"/>
  <c r="M470" i="1"/>
  <c r="M471" i="1"/>
  <c r="M472" i="1"/>
  <c r="M473" i="1"/>
  <c r="M474" i="1"/>
  <c r="M475" i="1"/>
  <c r="M476" i="1"/>
  <c r="M477" i="1"/>
  <c r="M478" i="1"/>
  <c r="N478" i="1" s="1"/>
  <c r="M479" i="1"/>
  <c r="N479" i="1" s="1"/>
  <c r="M480" i="1"/>
  <c r="N480" i="1" s="1"/>
  <c r="M481" i="1"/>
  <c r="N481" i="1" s="1"/>
  <c r="M482" i="1"/>
  <c r="M483" i="1"/>
  <c r="M484" i="1"/>
  <c r="M485" i="1"/>
  <c r="M486" i="1"/>
  <c r="M487" i="1"/>
  <c r="M488" i="1"/>
  <c r="M489" i="1"/>
  <c r="M490" i="1"/>
  <c r="N490" i="1" s="1"/>
  <c r="M491" i="1"/>
  <c r="M492" i="1"/>
  <c r="N492" i="1" s="1"/>
  <c r="M493" i="1"/>
  <c r="N493" i="1" s="1"/>
  <c r="M494" i="1"/>
  <c r="N494" i="1" s="1"/>
  <c r="M495" i="1"/>
  <c r="N495" i="1" s="1"/>
  <c r="M496" i="1"/>
  <c r="M497" i="1"/>
  <c r="M498" i="1"/>
  <c r="M499" i="1"/>
  <c r="M500" i="1"/>
  <c r="M501" i="1"/>
  <c r="M502" i="1"/>
  <c r="M503" i="1"/>
  <c r="M4" i="1"/>
  <c r="N6" i="1"/>
  <c r="N7" i="1"/>
  <c r="N10" i="1"/>
  <c r="N12" i="1"/>
  <c r="A5" i="1"/>
  <c r="A6" i="1"/>
  <c r="A7" i="1"/>
  <c r="A8" i="1"/>
  <c r="A9" i="1"/>
  <c r="A10" i="1"/>
  <c r="A11" i="1"/>
  <c r="A12" i="1"/>
  <c r="A13" i="1"/>
  <c r="A14" i="1"/>
  <c r="A15" i="1"/>
  <c r="B19" i="3"/>
  <c r="B18" i="3"/>
  <c r="B17" i="3"/>
  <c r="B16" i="3"/>
  <c r="B15" i="3"/>
  <c r="B14" i="3"/>
  <c r="B4" i="3"/>
  <c r="H1003" i="2"/>
  <c r="I1003" i="2" s="1"/>
  <c r="D1003" i="2"/>
  <c r="A1003" i="2"/>
  <c r="H1002" i="2"/>
  <c r="I1002" i="2" s="1"/>
  <c r="D1002" i="2"/>
  <c r="A1002" i="2"/>
  <c r="H1001" i="2"/>
  <c r="I1001" i="2" s="1"/>
  <c r="D1001" i="2"/>
  <c r="A1001" i="2"/>
  <c r="H1000" i="2"/>
  <c r="I1000" i="2" s="1"/>
  <c r="D1000" i="2"/>
  <c r="A1000" i="2"/>
  <c r="H999" i="2"/>
  <c r="I999" i="2" s="1"/>
  <c r="D999" i="2"/>
  <c r="A999" i="2"/>
  <c r="H998" i="2"/>
  <c r="I998" i="2" s="1"/>
  <c r="D998" i="2"/>
  <c r="A998" i="2"/>
  <c r="H997" i="2"/>
  <c r="I997" i="2" s="1"/>
  <c r="D997" i="2"/>
  <c r="A997" i="2"/>
  <c r="H996" i="2"/>
  <c r="I996" i="2" s="1"/>
  <c r="D996" i="2"/>
  <c r="A996" i="2"/>
  <c r="H995" i="2"/>
  <c r="I995" i="2" s="1"/>
  <c r="D995" i="2"/>
  <c r="A995" i="2"/>
  <c r="H994" i="2"/>
  <c r="I994" i="2" s="1"/>
  <c r="D994" i="2"/>
  <c r="A994" i="2"/>
  <c r="H993" i="2"/>
  <c r="I993" i="2" s="1"/>
  <c r="D993" i="2"/>
  <c r="A993" i="2"/>
  <c r="H992" i="2"/>
  <c r="I992" i="2" s="1"/>
  <c r="D992" i="2"/>
  <c r="A992" i="2"/>
  <c r="H991" i="2"/>
  <c r="I991" i="2" s="1"/>
  <c r="D991" i="2"/>
  <c r="A991" i="2"/>
  <c r="H990" i="2"/>
  <c r="I990" i="2" s="1"/>
  <c r="D990" i="2"/>
  <c r="A990" i="2"/>
  <c r="H989" i="2"/>
  <c r="I989" i="2" s="1"/>
  <c r="D989" i="2"/>
  <c r="A989" i="2"/>
  <c r="H988" i="2"/>
  <c r="I988" i="2" s="1"/>
  <c r="D988" i="2"/>
  <c r="A988" i="2"/>
  <c r="H987" i="2"/>
  <c r="I987" i="2" s="1"/>
  <c r="D987" i="2"/>
  <c r="A987" i="2"/>
  <c r="H986" i="2"/>
  <c r="I986" i="2" s="1"/>
  <c r="D986" i="2"/>
  <c r="A986" i="2"/>
  <c r="H985" i="2"/>
  <c r="I985" i="2" s="1"/>
  <c r="D985" i="2"/>
  <c r="A985" i="2"/>
  <c r="H984" i="2"/>
  <c r="I984" i="2" s="1"/>
  <c r="D984" i="2"/>
  <c r="A984" i="2"/>
  <c r="H983" i="2"/>
  <c r="I983" i="2" s="1"/>
  <c r="D983" i="2"/>
  <c r="A983" i="2"/>
  <c r="H982" i="2"/>
  <c r="I982" i="2" s="1"/>
  <c r="D982" i="2"/>
  <c r="A982" i="2"/>
  <c r="H981" i="2"/>
  <c r="I981" i="2" s="1"/>
  <c r="D981" i="2"/>
  <c r="A981" i="2"/>
  <c r="H980" i="2"/>
  <c r="I980" i="2" s="1"/>
  <c r="D980" i="2"/>
  <c r="A980" i="2"/>
  <c r="H979" i="2"/>
  <c r="I979" i="2" s="1"/>
  <c r="D979" i="2"/>
  <c r="A979" i="2"/>
  <c r="H978" i="2"/>
  <c r="I978" i="2" s="1"/>
  <c r="D978" i="2"/>
  <c r="A978" i="2"/>
  <c r="H977" i="2"/>
  <c r="I977" i="2" s="1"/>
  <c r="D977" i="2"/>
  <c r="A977" i="2"/>
  <c r="H976" i="2"/>
  <c r="I976" i="2" s="1"/>
  <c r="D976" i="2"/>
  <c r="A976" i="2"/>
  <c r="H975" i="2"/>
  <c r="I975" i="2" s="1"/>
  <c r="D975" i="2"/>
  <c r="A975" i="2"/>
  <c r="H974" i="2"/>
  <c r="I974" i="2" s="1"/>
  <c r="D974" i="2"/>
  <c r="A974" i="2"/>
  <c r="H973" i="2"/>
  <c r="I973" i="2" s="1"/>
  <c r="D973" i="2"/>
  <c r="A973" i="2"/>
  <c r="H972" i="2"/>
  <c r="I972" i="2" s="1"/>
  <c r="D972" i="2"/>
  <c r="A972" i="2"/>
  <c r="H971" i="2"/>
  <c r="I971" i="2" s="1"/>
  <c r="D971" i="2"/>
  <c r="A971" i="2"/>
  <c r="H970" i="2"/>
  <c r="I970" i="2" s="1"/>
  <c r="D970" i="2"/>
  <c r="A970" i="2"/>
  <c r="H969" i="2"/>
  <c r="I969" i="2" s="1"/>
  <c r="D969" i="2"/>
  <c r="A969" i="2"/>
  <c r="H968" i="2"/>
  <c r="I968" i="2" s="1"/>
  <c r="D968" i="2"/>
  <c r="A968" i="2"/>
  <c r="H967" i="2"/>
  <c r="I967" i="2" s="1"/>
  <c r="D967" i="2"/>
  <c r="A967" i="2"/>
  <c r="H966" i="2"/>
  <c r="I966" i="2" s="1"/>
  <c r="D966" i="2"/>
  <c r="A966" i="2"/>
  <c r="H965" i="2"/>
  <c r="I965" i="2" s="1"/>
  <c r="D965" i="2"/>
  <c r="A965" i="2"/>
  <c r="H964" i="2"/>
  <c r="I964" i="2" s="1"/>
  <c r="D964" i="2"/>
  <c r="A964" i="2"/>
  <c r="H963" i="2"/>
  <c r="I963" i="2" s="1"/>
  <c r="D963" i="2"/>
  <c r="A963" i="2"/>
  <c r="H962" i="2"/>
  <c r="I962" i="2" s="1"/>
  <c r="D962" i="2"/>
  <c r="A962" i="2"/>
  <c r="H961" i="2"/>
  <c r="I961" i="2" s="1"/>
  <c r="D961" i="2"/>
  <c r="A961" i="2"/>
  <c r="H960" i="2"/>
  <c r="I960" i="2" s="1"/>
  <c r="D960" i="2"/>
  <c r="A960" i="2"/>
  <c r="H959" i="2"/>
  <c r="I959" i="2" s="1"/>
  <c r="D959" i="2"/>
  <c r="A959" i="2"/>
  <c r="H958" i="2"/>
  <c r="I958" i="2" s="1"/>
  <c r="D958" i="2"/>
  <c r="A958" i="2"/>
  <c r="H957" i="2"/>
  <c r="I957" i="2" s="1"/>
  <c r="D957" i="2"/>
  <c r="A957" i="2"/>
  <c r="H956" i="2"/>
  <c r="I956" i="2" s="1"/>
  <c r="D956" i="2"/>
  <c r="A956" i="2"/>
  <c r="H955" i="2"/>
  <c r="I955" i="2" s="1"/>
  <c r="D955" i="2"/>
  <c r="A955" i="2"/>
  <c r="H954" i="2"/>
  <c r="I954" i="2" s="1"/>
  <c r="D954" i="2"/>
  <c r="A954" i="2"/>
  <c r="H953" i="2"/>
  <c r="I953" i="2" s="1"/>
  <c r="D953" i="2"/>
  <c r="A953" i="2"/>
  <c r="H952" i="2"/>
  <c r="I952" i="2" s="1"/>
  <c r="D952" i="2"/>
  <c r="A952" i="2"/>
  <c r="H951" i="2"/>
  <c r="I951" i="2" s="1"/>
  <c r="D951" i="2"/>
  <c r="A951" i="2"/>
  <c r="H950" i="2"/>
  <c r="I950" i="2" s="1"/>
  <c r="D950" i="2"/>
  <c r="A950" i="2"/>
  <c r="H949" i="2"/>
  <c r="I949" i="2" s="1"/>
  <c r="D949" i="2"/>
  <c r="A949" i="2"/>
  <c r="H948" i="2"/>
  <c r="I948" i="2" s="1"/>
  <c r="D948" i="2"/>
  <c r="A948" i="2"/>
  <c r="H947" i="2"/>
  <c r="I947" i="2" s="1"/>
  <c r="D947" i="2"/>
  <c r="A947" i="2"/>
  <c r="H946" i="2"/>
  <c r="I946" i="2" s="1"/>
  <c r="D946" i="2"/>
  <c r="A946" i="2"/>
  <c r="H945" i="2"/>
  <c r="I945" i="2" s="1"/>
  <c r="D945" i="2"/>
  <c r="A945" i="2"/>
  <c r="H944" i="2"/>
  <c r="I944" i="2" s="1"/>
  <c r="D944" i="2"/>
  <c r="A944" i="2"/>
  <c r="H943" i="2"/>
  <c r="I943" i="2" s="1"/>
  <c r="D943" i="2"/>
  <c r="A943" i="2"/>
  <c r="H942" i="2"/>
  <c r="I942" i="2" s="1"/>
  <c r="D942" i="2"/>
  <c r="A942" i="2"/>
  <c r="H941" i="2"/>
  <c r="I941" i="2" s="1"/>
  <c r="D941" i="2"/>
  <c r="A941" i="2"/>
  <c r="H940" i="2"/>
  <c r="I940" i="2" s="1"/>
  <c r="D940" i="2"/>
  <c r="A940" i="2"/>
  <c r="H939" i="2"/>
  <c r="I939" i="2" s="1"/>
  <c r="D939" i="2"/>
  <c r="A939" i="2"/>
  <c r="H938" i="2"/>
  <c r="I938" i="2" s="1"/>
  <c r="D938" i="2"/>
  <c r="A938" i="2"/>
  <c r="H937" i="2"/>
  <c r="I937" i="2" s="1"/>
  <c r="D937" i="2"/>
  <c r="A937" i="2"/>
  <c r="H936" i="2"/>
  <c r="I936" i="2" s="1"/>
  <c r="D936" i="2"/>
  <c r="A936" i="2"/>
  <c r="H935" i="2"/>
  <c r="I935" i="2" s="1"/>
  <c r="D935" i="2"/>
  <c r="A935" i="2"/>
  <c r="H934" i="2"/>
  <c r="I934" i="2" s="1"/>
  <c r="D934" i="2"/>
  <c r="A934" i="2"/>
  <c r="H933" i="2"/>
  <c r="I933" i="2" s="1"/>
  <c r="D933" i="2"/>
  <c r="A933" i="2"/>
  <c r="H932" i="2"/>
  <c r="I932" i="2" s="1"/>
  <c r="D932" i="2"/>
  <c r="A932" i="2"/>
  <c r="H931" i="2"/>
  <c r="I931" i="2" s="1"/>
  <c r="D931" i="2"/>
  <c r="A931" i="2"/>
  <c r="H930" i="2"/>
  <c r="I930" i="2" s="1"/>
  <c r="D930" i="2"/>
  <c r="A930" i="2"/>
  <c r="H929" i="2"/>
  <c r="I929" i="2" s="1"/>
  <c r="D929" i="2"/>
  <c r="A929" i="2"/>
  <c r="H928" i="2"/>
  <c r="I928" i="2" s="1"/>
  <c r="D928" i="2"/>
  <c r="A928" i="2"/>
  <c r="H927" i="2"/>
  <c r="I927" i="2" s="1"/>
  <c r="D927" i="2"/>
  <c r="A927" i="2"/>
  <c r="H926" i="2"/>
  <c r="I926" i="2" s="1"/>
  <c r="D926" i="2"/>
  <c r="A926" i="2"/>
  <c r="H925" i="2"/>
  <c r="I925" i="2" s="1"/>
  <c r="D925" i="2"/>
  <c r="A925" i="2"/>
  <c r="H924" i="2"/>
  <c r="I924" i="2" s="1"/>
  <c r="D924" i="2"/>
  <c r="A924" i="2"/>
  <c r="H923" i="2"/>
  <c r="I923" i="2" s="1"/>
  <c r="D923" i="2"/>
  <c r="A923" i="2"/>
  <c r="H922" i="2"/>
  <c r="I922" i="2" s="1"/>
  <c r="D922" i="2"/>
  <c r="A922" i="2"/>
  <c r="H921" i="2"/>
  <c r="I921" i="2" s="1"/>
  <c r="D921" i="2"/>
  <c r="A921" i="2"/>
  <c r="H920" i="2"/>
  <c r="I920" i="2" s="1"/>
  <c r="D920" i="2"/>
  <c r="A920" i="2"/>
  <c r="H919" i="2"/>
  <c r="I919" i="2" s="1"/>
  <c r="D919" i="2"/>
  <c r="A919" i="2"/>
  <c r="H918" i="2"/>
  <c r="I918" i="2" s="1"/>
  <c r="D918" i="2"/>
  <c r="A918" i="2"/>
  <c r="H917" i="2"/>
  <c r="I917" i="2" s="1"/>
  <c r="D917" i="2"/>
  <c r="A917" i="2"/>
  <c r="H916" i="2"/>
  <c r="I916" i="2" s="1"/>
  <c r="D916" i="2"/>
  <c r="A916" i="2"/>
  <c r="H915" i="2"/>
  <c r="I915" i="2" s="1"/>
  <c r="D915" i="2"/>
  <c r="A915" i="2"/>
  <c r="H914" i="2"/>
  <c r="I914" i="2" s="1"/>
  <c r="D914" i="2"/>
  <c r="A914" i="2"/>
  <c r="H913" i="2"/>
  <c r="I913" i="2" s="1"/>
  <c r="D913" i="2"/>
  <c r="A913" i="2"/>
  <c r="H912" i="2"/>
  <c r="I912" i="2" s="1"/>
  <c r="D912" i="2"/>
  <c r="A912" i="2"/>
  <c r="H911" i="2"/>
  <c r="I911" i="2" s="1"/>
  <c r="D911" i="2"/>
  <c r="A911" i="2"/>
  <c r="H910" i="2"/>
  <c r="I910" i="2" s="1"/>
  <c r="D910" i="2"/>
  <c r="A910" i="2"/>
  <c r="H909" i="2"/>
  <c r="I909" i="2" s="1"/>
  <c r="D909" i="2"/>
  <c r="A909" i="2"/>
  <c r="H908" i="2"/>
  <c r="I908" i="2" s="1"/>
  <c r="D908" i="2"/>
  <c r="A908" i="2"/>
  <c r="H907" i="2"/>
  <c r="I907" i="2" s="1"/>
  <c r="D907" i="2"/>
  <c r="A907" i="2"/>
  <c r="H906" i="2"/>
  <c r="I906" i="2" s="1"/>
  <c r="D906" i="2"/>
  <c r="A906" i="2"/>
  <c r="H905" i="2"/>
  <c r="I905" i="2" s="1"/>
  <c r="D905" i="2"/>
  <c r="A905" i="2"/>
  <c r="H904" i="2"/>
  <c r="I904" i="2" s="1"/>
  <c r="D904" i="2"/>
  <c r="A904" i="2"/>
  <c r="H903" i="2"/>
  <c r="I903" i="2" s="1"/>
  <c r="D903" i="2"/>
  <c r="A903" i="2"/>
  <c r="H902" i="2"/>
  <c r="I902" i="2" s="1"/>
  <c r="D902" i="2"/>
  <c r="A902" i="2"/>
  <c r="H901" i="2"/>
  <c r="I901" i="2" s="1"/>
  <c r="D901" i="2"/>
  <c r="A901" i="2"/>
  <c r="H900" i="2"/>
  <c r="I900" i="2" s="1"/>
  <c r="D900" i="2"/>
  <c r="A900" i="2"/>
  <c r="H899" i="2"/>
  <c r="I899" i="2" s="1"/>
  <c r="D899" i="2"/>
  <c r="A899" i="2"/>
  <c r="H898" i="2"/>
  <c r="I898" i="2" s="1"/>
  <c r="D898" i="2"/>
  <c r="A898" i="2"/>
  <c r="H897" i="2"/>
  <c r="I897" i="2" s="1"/>
  <c r="D897" i="2"/>
  <c r="A897" i="2"/>
  <c r="H896" i="2"/>
  <c r="I896" i="2" s="1"/>
  <c r="D896" i="2"/>
  <c r="A896" i="2"/>
  <c r="H895" i="2"/>
  <c r="I895" i="2" s="1"/>
  <c r="D895" i="2"/>
  <c r="A895" i="2"/>
  <c r="H894" i="2"/>
  <c r="I894" i="2" s="1"/>
  <c r="D894" i="2"/>
  <c r="A894" i="2"/>
  <c r="H893" i="2"/>
  <c r="I893" i="2" s="1"/>
  <c r="D893" i="2"/>
  <c r="A893" i="2"/>
  <c r="H892" i="2"/>
  <c r="I892" i="2" s="1"/>
  <c r="D892" i="2"/>
  <c r="A892" i="2"/>
  <c r="H891" i="2"/>
  <c r="I891" i="2" s="1"/>
  <c r="D891" i="2"/>
  <c r="A891" i="2"/>
  <c r="H890" i="2"/>
  <c r="I890" i="2" s="1"/>
  <c r="D890" i="2"/>
  <c r="A890" i="2"/>
  <c r="H889" i="2"/>
  <c r="I889" i="2" s="1"/>
  <c r="D889" i="2"/>
  <c r="A889" i="2"/>
  <c r="H888" i="2"/>
  <c r="I888" i="2" s="1"/>
  <c r="D888" i="2"/>
  <c r="A888" i="2"/>
  <c r="H887" i="2"/>
  <c r="I887" i="2" s="1"/>
  <c r="D887" i="2"/>
  <c r="A887" i="2"/>
  <c r="H886" i="2"/>
  <c r="I886" i="2" s="1"/>
  <c r="D886" i="2"/>
  <c r="A886" i="2"/>
  <c r="H885" i="2"/>
  <c r="I885" i="2" s="1"/>
  <c r="D885" i="2"/>
  <c r="A885" i="2"/>
  <c r="H884" i="2"/>
  <c r="I884" i="2" s="1"/>
  <c r="D884" i="2"/>
  <c r="A884" i="2"/>
  <c r="H883" i="2"/>
  <c r="I883" i="2" s="1"/>
  <c r="D883" i="2"/>
  <c r="A883" i="2"/>
  <c r="H882" i="2"/>
  <c r="I882" i="2" s="1"/>
  <c r="D882" i="2"/>
  <c r="A882" i="2"/>
  <c r="H881" i="2"/>
  <c r="I881" i="2" s="1"/>
  <c r="D881" i="2"/>
  <c r="A881" i="2"/>
  <c r="H880" i="2"/>
  <c r="I880" i="2" s="1"/>
  <c r="D880" i="2"/>
  <c r="A880" i="2"/>
  <c r="H879" i="2"/>
  <c r="I879" i="2" s="1"/>
  <c r="D879" i="2"/>
  <c r="A879" i="2"/>
  <c r="H878" i="2"/>
  <c r="I878" i="2" s="1"/>
  <c r="D878" i="2"/>
  <c r="A878" i="2"/>
  <c r="H877" i="2"/>
  <c r="I877" i="2" s="1"/>
  <c r="D877" i="2"/>
  <c r="A877" i="2"/>
  <c r="H876" i="2"/>
  <c r="I876" i="2" s="1"/>
  <c r="D876" i="2"/>
  <c r="A876" i="2"/>
  <c r="H875" i="2"/>
  <c r="I875" i="2" s="1"/>
  <c r="D875" i="2"/>
  <c r="A875" i="2"/>
  <c r="H874" i="2"/>
  <c r="I874" i="2" s="1"/>
  <c r="D874" i="2"/>
  <c r="A874" i="2"/>
  <c r="H873" i="2"/>
  <c r="I873" i="2" s="1"/>
  <c r="D873" i="2"/>
  <c r="A873" i="2"/>
  <c r="H872" i="2"/>
  <c r="I872" i="2" s="1"/>
  <c r="D872" i="2"/>
  <c r="A872" i="2"/>
  <c r="H871" i="2"/>
  <c r="I871" i="2" s="1"/>
  <c r="D871" i="2"/>
  <c r="A871" i="2"/>
  <c r="H870" i="2"/>
  <c r="I870" i="2" s="1"/>
  <c r="D870" i="2"/>
  <c r="A870" i="2"/>
  <c r="H869" i="2"/>
  <c r="I869" i="2" s="1"/>
  <c r="D869" i="2"/>
  <c r="A869" i="2"/>
  <c r="H868" i="2"/>
  <c r="I868" i="2" s="1"/>
  <c r="D868" i="2"/>
  <c r="A868" i="2"/>
  <c r="H867" i="2"/>
  <c r="I867" i="2" s="1"/>
  <c r="D867" i="2"/>
  <c r="A867" i="2"/>
  <c r="H866" i="2"/>
  <c r="I866" i="2" s="1"/>
  <c r="D866" i="2"/>
  <c r="A866" i="2"/>
  <c r="H865" i="2"/>
  <c r="I865" i="2" s="1"/>
  <c r="D865" i="2"/>
  <c r="A865" i="2"/>
  <c r="H864" i="2"/>
  <c r="I864" i="2" s="1"/>
  <c r="D864" i="2"/>
  <c r="A864" i="2"/>
  <c r="H863" i="2"/>
  <c r="I863" i="2" s="1"/>
  <c r="D863" i="2"/>
  <c r="A863" i="2"/>
  <c r="H862" i="2"/>
  <c r="I862" i="2" s="1"/>
  <c r="D862" i="2"/>
  <c r="A862" i="2"/>
  <c r="H861" i="2"/>
  <c r="I861" i="2" s="1"/>
  <c r="D861" i="2"/>
  <c r="A861" i="2"/>
  <c r="H860" i="2"/>
  <c r="I860" i="2" s="1"/>
  <c r="D860" i="2"/>
  <c r="A860" i="2"/>
  <c r="H859" i="2"/>
  <c r="I859" i="2" s="1"/>
  <c r="D859" i="2"/>
  <c r="A859" i="2"/>
  <c r="H858" i="2"/>
  <c r="I858" i="2" s="1"/>
  <c r="D858" i="2"/>
  <c r="A858" i="2"/>
  <c r="H857" i="2"/>
  <c r="I857" i="2" s="1"/>
  <c r="D857" i="2"/>
  <c r="A857" i="2"/>
  <c r="H856" i="2"/>
  <c r="I856" i="2" s="1"/>
  <c r="D856" i="2"/>
  <c r="A856" i="2"/>
  <c r="H855" i="2"/>
  <c r="I855" i="2" s="1"/>
  <c r="D855" i="2"/>
  <c r="A855" i="2"/>
  <c r="H854" i="2"/>
  <c r="I854" i="2" s="1"/>
  <c r="D854" i="2"/>
  <c r="A854" i="2"/>
  <c r="H853" i="2"/>
  <c r="I853" i="2" s="1"/>
  <c r="D853" i="2"/>
  <c r="A853" i="2"/>
  <c r="H852" i="2"/>
  <c r="I852" i="2" s="1"/>
  <c r="D852" i="2"/>
  <c r="A852" i="2"/>
  <c r="H851" i="2"/>
  <c r="I851" i="2" s="1"/>
  <c r="D851" i="2"/>
  <c r="A851" i="2"/>
  <c r="H850" i="2"/>
  <c r="I850" i="2" s="1"/>
  <c r="D850" i="2"/>
  <c r="A850" i="2"/>
  <c r="H849" i="2"/>
  <c r="I849" i="2" s="1"/>
  <c r="D849" i="2"/>
  <c r="A849" i="2"/>
  <c r="H848" i="2"/>
  <c r="I848" i="2" s="1"/>
  <c r="D848" i="2"/>
  <c r="A848" i="2"/>
  <c r="H847" i="2"/>
  <c r="I847" i="2" s="1"/>
  <c r="D847" i="2"/>
  <c r="A847" i="2"/>
  <c r="H846" i="2"/>
  <c r="I846" i="2" s="1"/>
  <c r="D846" i="2"/>
  <c r="A846" i="2"/>
  <c r="H845" i="2"/>
  <c r="I845" i="2" s="1"/>
  <c r="D845" i="2"/>
  <c r="A845" i="2"/>
  <c r="H844" i="2"/>
  <c r="I844" i="2" s="1"/>
  <c r="D844" i="2"/>
  <c r="A844" i="2"/>
  <c r="H843" i="2"/>
  <c r="I843" i="2" s="1"/>
  <c r="D843" i="2"/>
  <c r="A843" i="2"/>
  <c r="H842" i="2"/>
  <c r="I842" i="2" s="1"/>
  <c r="D842" i="2"/>
  <c r="A842" i="2"/>
  <c r="H841" i="2"/>
  <c r="I841" i="2" s="1"/>
  <c r="D841" i="2"/>
  <c r="A841" i="2"/>
  <c r="H840" i="2"/>
  <c r="I840" i="2" s="1"/>
  <c r="D840" i="2"/>
  <c r="A840" i="2"/>
  <c r="H839" i="2"/>
  <c r="I839" i="2" s="1"/>
  <c r="D839" i="2"/>
  <c r="A839" i="2"/>
  <c r="H838" i="2"/>
  <c r="I838" i="2" s="1"/>
  <c r="D838" i="2"/>
  <c r="A838" i="2"/>
  <c r="H837" i="2"/>
  <c r="I837" i="2" s="1"/>
  <c r="D837" i="2"/>
  <c r="A837" i="2"/>
  <c r="H836" i="2"/>
  <c r="I836" i="2" s="1"/>
  <c r="D836" i="2"/>
  <c r="A836" i="2"/>
  <c r="H835" i="2"/>
  <c r="I835" i="2" s="1"/>
  <c r="D835" i="2"/>
  <c r="A835" i="2"/>
  <c r="H834" i="2"/>
  <c r="I834" i="2" s="1"/>
  <c r="D834" i="2"/>
  <c r="A834" i="2"/>
  <c r="H833" i="2"/>
  <c r="I833" i="2" s="1"/>
  <c r="D833" i="2"/>
  <c r="A833" i="2"/>
  <c r="H832" i="2"/>
  <c r="I832" i="2" s="1"/>
  <c r="D832" i="2"/>
  <c r="A832" i="2"/>
  <c r="H831" i="2"/>
  <c r="I831" i="2" s="1"/>
  <c r="D831" i="2"/>
  <c r="A831" i="2"/>
  <c r="H830" i="2"/>
  <c r="I830" i="2" s="1"/>
  <c r="D830" i="2"/>
  <c r="A830" i="2"/>
  <c r="H829" i="2"/>
  <c r="I829" i="2" s="1"/>
  <c r="D829" i="2"/>
  <c r="A829" i="2"/>
  <c r="H828" i="2"/>
  <c r="I828" i="2" s="1"/>
  <c r="D828" i="2"/>
  <c r="A828" i="2"/>
  <c r="H827" i="2"/>
  <c r="I827" i="2" s="1"/>
  <c r="D827" i="2"/>
  <c r="A827" i="2"/>
  <c r="H826" i="2"/>
  <c r="I826" i="2" s="1"/>
  <c r="D826" i="2"/>
  <c r="A826" i="2"/>
  <c r="H825" i="2"/>
  <c r="I825" i="2" s="1"/>
  <c r="D825" i="2"/>
  <c r="A825" i="2"/>
  <c r="H824" i="2"/>
  <c r="I824" i="2" s="1"/>
  <c r="D824" i="2"/>
  <c r="A824" i="2"/>
  <c r="H823" i="2"/>
  <c r="I823" i="2" s="1"/>
  <c r="D823" i="2"/>
  <c r="A823" i="2"/>
  <c r="H822" i="2"/>
  <c r="I822" i="2" s="1"/>
  <c r="D822" i="2"/>
  <c r="A822" i="2"/>
  <c r="H821" i="2"/>
  <c r="I821" i="2" s="1"/>
  <c r="D821" i="2"/>
  <c r="A821" i="2"/>
  <c r="H820" i="2"/>
  <c r="I820" i="2" s="1"/>
  <c r="D820" i="2"/>
  <c r="A820" i="2"/>
  <c r="H819" i="2"/>
  <c r="I819" i="2" s="1"/>
  <c r="D819" i="2"/>
  <c r="A819" i="2"/>
  <c r="H818" i="2"/>
  <c r="I818" i="2" s="1"/>
  <c r="D818" i="2"/>
  <c r="A818" i="2"/>
  <c r="H817" i="2"/>
  <c r="I817" i="2" s="1"/>
  <c r="D817" i="2"/>
  <c r="A817" i="2"/>
  <c r="H816" i="2"/>
  <c r="I816" i="2" s="1"/>
  <c r="D816" i="2"/>
  <c r="A816" i="2"/>
  <c r="H815" i="2"/>
  <c r="I815" i="2" s="1"/>
  <c r="D815" i="2"/>
  <c r="A815" i="2"/>
  <c r="H814" i="2"/>
  <c r="I814" i="2" s="1"/>
  <c r="D814" i="2"/>
  <c r="A814" i="2"/>
  <c r="H813" i="2"/>
  <c r="I813" i="2" s="1"/>
  <c r="D813" i="2"/>
  <c r="A813" i="2"/>
  <c r="H812" i="2"/>
  <c r="I812" i="2" s="1"/>
  <c r="D812" i="2"/>
  <c r="A812" i="2"/>
  <c r="H811" i="2"/>
  <c r="I811" i="2" s="1"/>
  <c r="D811" i="2"/>
  <c r="A811" i="2"/>
  <c r="H810" i="2"/>
  <c r="I810" i="2" s="1"/>
  <c r="D810" i="2"/>
  <c r="A810" i="2"/>
  <c r="H809" i="2"/>
  <c r="I809" i="2" s="1"/>
  <c r="D809" i="2"/>
  <c r="A809" i="2"/>
  <c r="H808" i="2"/>
  <c r="I808" i="2" s="1"/>
  <c r="D808" i="2"/>
  <c r="A808" i="2"/>
  <c r="H807" i="2"/>
  <c r="I807" i="2" s="1"/>
  <c r="D807" i="2"/>
  <c r="A807" i="2"/>
  <c r="H806" i="2"/>
  <c r="I806" i="2" s="1"/>
  <c r="D806" i="2"/>
  <c r="A806" i="2"/>
  <c r="H805" i="2"/>
  <c r="I805" i="2" s="1"/>
  <c r="D805" i="2"/>
  <c r="A805" i="2"/>
  <c r="H804" i="2"/>
  <c r="I804" i="2" s="1"/>
  <c r="D804" i="2"/>
  <c r="A804" i="2"/>
  <c r="H803" i="2"/>
  <c r="I803" i="2" s="1"/>
  <c r="D803" i="2"/>
  <c r="A803" i="2"/>
  <c r="H802" i="2"/>
  <c r="I802" i="2" s="1"/>
  <c r="D802" i="2"/>
  <c r="A802" i="2"/>
  <c r="H801" i="2"/>
  <c r="I801" i="2" s="1"/>
  <c r="D801" i="2"/>
  <c r="A801" i="2"/>
  <c r="H800" i="2"/>
  <c r="I800" i="2" s="1"/>
  <c r="D800" i="2"/>
  <c r="A800" i="2"/>
  <c r="H799" i="2"/>
  <c r="I799" i="2" s="1"/>
  <c r="D799" i="2"/>
  <c r="A799" i="2"/>
  <c r="H798" i="2"/>
  <c r="I798" i="2" s="1"/>
  <c r="D798" i="2"/>
  <c r="A798" i="2"/>
  <c r="H797" i="2"/>
  <c r="I797" i="2" s="1"/>
  <c r="D797" i="2"/>
  <c r="A797" i="2"/>
  <c r="H796" i="2"/>
  <c r="I796" i="2" s="1"/>
  <c r="D796" i="2"/>
  <c r="A796" i="2"/>
  <c r="H795" i="2"/>
  <c r="I795" i="2" s="1"/>
  <c r="D795" i="2"/>
  <c r="A795" i="2"/>
  <c r="H794" i="2"/>
  <c r="I794" i="2" s="1"/>
  <c r="D794" i="2"/>
  <c r="A794" i="2"/>
  <c r="H793" i="2"/>
  <c r="I793" i="2" s="1"/>
  <c r="D793" i="2"/>
  <c r="A793" i="2"/>
  <c r="H792" i="2"/>
  <c r="I792" i="2" s="1"/>
  <c r="D792" i="2"/>
  <c r="A792" i="2"/>
  <c r="H791" i="2"/>
  <c r="I791" i="2" s="1"/>
  <c r="D791" i="2"/>
  <c r="A791" i="2"/>
  <c r="H790" i="2"/>
  <c r="I790" i="2" s="1"/>
  <c r="D790" i="2"/>
  <c r="A790" i="2"/>
  <c r="H789" i="2"/>
  <c r="I789" i="2" s="1"/>
  <c r="D789" i="2"/>
  <c r="A789" i="2"/>
  <c r="H788" i="2"/>
  <c r="I788" i="2" s="1"/>
  <c r="D788" i="2"/>
  <c r="A788" i="2"/>
  <c r="H787" i="2"/>
  <c r="I787" i="2" s="1"/>
  <c r="D787" i="2"/>
  <c r="A787" i="2"/>
  <c r="H786" i="2"/>
  <c r="I786" i="2" s="1"/>
  <c r="D786" i="2"/>
  <c r="A786" i="2"/>
  <c r="H785" i="2"/>
  <c r="I785" i="2" s="1"/>
  <c r="D785" i="2"/>
  <c r="A785" i="2"/>
  <c r="H784" i="2"/>
  <c r="I784" i="2" s="1"/>
  <c r="D784" i="2"/>
  <c r="A784" i="2"/>
  <c r="H783" i="2"/>
  <c r="I783" i="2" s="1"/>
  <c r="D783" i="2"/>
  <c r="A783" i="2"/>
  <c r="H782" i="2"/>
  <c r="I782" i="2" s="1"/>
  <c r="D782" i="2"/>
  <c r="A782" i="2"/>
  <c r="H781" i="2"/>
  <c r="I781" i="2" s="1"/>
  <c r="D781" i="2"/>
  <c r="A781" i="2"/>
  <c r="H780" i="2"/>
  <c r="I780" i="2" s="1"/>
  <c r="D780" i="2"/>
  <c r="A780" i="2"/>
  <c r="H779" i="2"/>
  <c r="I779" i="2" s="1"/>
  <c r="D779" i="2"/>
  <c r="A779" i="2"/>
  <c r="H778" i="2"/>
  <c r="I778" i="2" s="1"/>
  <c r="D778" i="2"/>
  <c r="A778" i="2"/>
  <c r="H777" i="2"/>
  <c r="I777" i="2" s="1"/>
  <c r="D777" i="2"/>
  <c r="A777" i="2"/>
  <c r="H776" i="2"/>
  <c r="I776" i="2" s="1"/>
  <c r="D776" i="2"/>
  <c r="A776" i="2"/>
  <c r="H775" i="2"/>
  <c r="I775" i="2" s="1"/>
  <c r="D775" i="2"/>
  <c r="A775" i="2"/>
  <c r="H774" i="2"/>
  <c r="I774" i="2" s="1"/>
  <c r="D774" i="2"/>
  <c r="A774" i="2"/>
  <c r="H773" i="2"/>
  <c r="I773" i="2" s="1"/>
  <c r="D773" i="2"/>
  <c r="A773" i="2"/>
  <c r="H772" i="2"/>
  <c r="I772" i="2" s="1"/>
  <c r="D772" i="2"/>
  <c r="A772" i="2"/>
  <c r="H771" i="2"/>
  <c r="I771" i="2" s="1"/>
  <c r="D771" i="2"/>
  <c r="A771" i="2"/>
  <c r="H770" i="2"/>
  <c r="I770" i="2" s="1"/>
  <c r="D770" i="2"/>
  <c r="A770" i="2"/>
  <c r="H769" i="2"/>
  <c r="I769" i="2" s="1"/>
  <c r="D769" i="2"/>
  <c r="A769" i="2"/>
  <c r="H768" i="2"/>
  <c r="I768" i="2" s="1"/>
  <c r="D768" i="2"/>
  <c r="A768" i="2"/>
  <c r="H767" i="2"/>
  <c r="I767" i="2" s="1"/>
  <c r="D767" i="2"/>
  <c r="A767" i="2"/>
  <c r="H766" i="2"/>
  <c r="I766" i="2" s="1"/>
  <c r="D766" i="2"/>
  <c r="A766" i="2"/>
  <c r="H765" i="2"/>
  <c r="I765" i="2" s="1"/>
  <c r="D765" i="2"/>
  <c r="A765" i="2"/>
  <c r="H764" i="2"/>
  <c r="I764" i="2" s="1"/>
  <c r="D764" i="2"/>
  <c r="A764" i="2"/>
  <c r="H763" i="2"/>
  <c r="I763" i="2" s="1"/>
  <c r="D763" i="2"/>
  <c r="A763" i="2"/>
  <c r="H762" i="2"/>
  <c r="I762" i="2" s="1"/>
  <c r="D762" i="2"/>
  <c r="A762" i="2"/>
  <c r="H761" i="2"/>
  <c r="I761" i="2" s="1"/>
  <c r="D761" i="2"/>
  <c r="A761" i="2"/>
  <c r="H760" i="2"/>
  <c r="I760" i="2" s="1"/>
  <c r="D760" i="2"/>
  <c r="A760" i="2"/>
  <c r="H759" i="2"/>
  <c r="I759" i="2" s="1"/>
  <c r="D759" i="2"/>
  <c r="A759" i="2"/>
  <c r="H758" i="2"/>
  <c r="I758" i="2" s="1"/>
  <c r="D758" i="2"/>
  <c r="A758" i="2"/>
  <c r="H757" i="2"/>
  <c r="I757" i="2" s="1"/>
  <c r="D757" i="2"/>
  <c r="A757" i="2"/>
  <c r="H756" i="2"/>
  <c r="I756" i="2" s="1"/>
  <c r="D756" i="2"/>
  <c r="A756" i="2"/>
  <c r="H755" i="2"/>
  <c r="I755" i="2" s="1"/>
  <c r="D755" i="2"/>
  <c r="A755" i="2"/>
  <c r="H754" i="2"/>
  <c r="I754" i="2" s="1"/>
  <c r="D754" i="2"/>
  <c r="A754" i="2"/>
  <c r="H753" i="2"/>
  <c r="I753" i="2" s="1"/>
  <c r="D753" i="2"/>
  <c r="A753" i="2"/>
  <c r="H752" i="2"/>
  <c r="I752" i="2" s="1"/>
  <c r="D752" i="2"/>
  <c r="A752" i="2"/>
  <c r="H751" i="2"/>
  <c r="I751" i="2" s="1"/>
  <c r="D751" i="2"/>
  <c r="A751" i="2"/>
  <c r="H750" i="2"/>
  <c r="I750" i="2" s="1"/>
  <c r="D750" i="2"/>
  <c r="A750" i="2"/>
  <c r="H749" i="2"/>
  <c r="I749" i="2" s="1"/>
  <c r="D749" i="2"/>
  <c r="A749" i="2"/>
  <c r="H748" i="2"/>
  <c r="I748" i="2" s="1"/>
  <c r="D748" i="2"/>
  <c r="A748" i="2"/>
  <c r="H747" i="2"/>
  <c r="I747" i="2" s="1"/>
  <c r="D747" i="2"/>
  <c r="A747" i="2"/>
  <c r="H746" i="2"/>
  <c r="I746" i="2" s="1"/>
  <c r="D746" i="2"/>
  <c r="A746" i="2"/>
  <c r="H745" i="2"/>
  <c r="I745" i="2" s="1"/>
  <c r="D745" i="2"/>
  <c r="A745" i="2"/>
  <c r="H744" i="2"/>
  <c r="I744" i="2" s="1"/>
  <c r="D744" i="2"/>
  <c r="A744" i="2"/>
  <c r="H743" i="2"/>
  <c r="I743" i="2" s="1"/>
  <c r="D743" i="2"/>
  <c r="A743" i="2"/>
  <c r="H742" i="2"/>
  <c r="I742" i="2" s="1"/>
  <c r="D742" i="2"/>
  <c r="A742" i="2"/>
  <c r="H741" i="2"/>
  <c r="I741" i="2" s="1"/>
  <c r="D741" i="2"/>
  <c r="A741" i="2"/>
  <c r="H740" i="2"/>
  <c r="I740" i="2" s="1"/>
  <c r="D740" i="2"/>
  <c r="A740" i="2"/>
  <c r="H739" i="2"/>
  <c r="I739" i="2" s="1"/>
  <c r="D739" i="2"/>
  <c r="A739" i="2"/>
  <c r="H738" i="2"/>
  <c r="I738" i="2" s="1"/>
  <c r="D738" i="2"/>
  <c r="A738" i="2"/>
  <c r="H737" i="2"/>
  <c r="I737" i="2" s="1"/>
  <c r="D737" i="2"/>
  <c r="A737" i="2"/>
  <c r="H736" i="2"/>
  <c r="I736" i="2" s="1"/>
  <c r="D736" i="2"/>
  <c r="A736" i="2"/>
  <c r="H735" i="2"/>
  <c r="I735" i="2" s="1"/>
  <c r="D735" i="2"/>
  <c r="A735" i="2"/>
  <c r="H734" i="2"/>
  <c r="I734" i="2" s="1"/>
  <c r="D734" i="2"/>
  <c r="A734" i="2"/>
  <c r="H733" i="2"/>
  <c r="I733" i="2" s="1"/>
  <c r="D733" i="2"/>
  <c r="A733" i="2"/>
  <c r="H732" i="2"/>
  <c r="I732" i="2" s="1"/>
  <c r="D732" i="2"/>
  <c r="A732" i="2"/>
  <c r="H731" i="2"/>
  <c r="I731" i="2" s="1"/>
  <c r="D731" i="2"/>
  <c r="A731" i="2"/>
  <c r="H730" i="2"/>
  <c r="I730" i="2" s="1"/>
  <c r="D730" i="2"/>
  <c r="A730" i="2"/>
  <c r="H729" i="2"/>
  <c r="I729" i="2" s="1"/>
  <c r="D729" i="2"/>
  <c r="A729" i="2"/>
  <c r="H728" i="2"/>
  <c r="I728" i="2" s="1"/>
  <c r="D728" i="2"/>
  <c r="A728" i="2"/>
  <c r="H727" i="2"/>
  <c r="I727" i="2" s="1"/>
  <c r="D727" i="2"/>
  <c r="A727" i="2"/>
  <c r="H726" i="2"/>
  <c r="I726" i="2" s="1"/>
  <c r="D726" i="2"/>
  <c r="A726" i="2"/>
  <c r="H725" i="2"/>
  <c r="I725" i="2" s="1"/>
  <c r="D725" i="2"/>
  <c r="A725" i="2"/>
  <c r="H724" i="2"/>
  <c r="I724" i="2" s="1"/>
  <c r="D724" i="2"/>
  <c r="A724" i="2"/>
  <c r="H723" i="2"/>
  <c r="I723" i="2" s="1"/>
  <c r="D723" i="2"/>
  <c r="A723" i="2"/>
  <c r="H722" i="2"/>
  <c r="I722" i="2" s="1"/>
  <c r="D722" i="2"/>
  <c r="A722" i="2"/>
  <c r="H721" i="2"/>
  <c r="I721" i="2" s="1"/>
  <c r="D721" i="2"/>
  <c r="A721" i="2"/>
  <c r="H720" i="2"/>
  <c r="I720" i="2" s="1"/>
  <c r="D720" i="2"/>
  <c r="A720" i="2"/>
  <c r="H719" i="2"/>
  <c r="I719" i="2" s="1"/>
  <c r="D719" i="2"/>
  <c r="A719" i="2"/>
  <c r="H718" i="2"/>
  <c r="I718" i="2" s="1"/>
  <c r="D718" i="2"/>
  <c r="A718" i="2"/>
  <c r="H717" i="2"/>
  <c r="I717" i="2" s="1"/>
  <c r="D717" i="2"/>
  <c r="A717" i="2"/>
  <c r="H716" i="2"/>
  <c r="I716" i="2" s="1"/>
  <c r="D716" i="2"/>
  <c r="A716" i="2"/>
  <c r="H715" i="2"/>
  <c r="I715" i="2" s="1"/>
  <c r="D715" i="2"/>
  <c r="A715" i="2"/>
  <c r="H714" i="2"/>
  <c r="I714" i="2" s="1"/>
  <c r="D714" i="2"/>
  <c r="A714" i="2"/>
  <c r="H713" i="2"/>
  <c r="I713" i="2" s="1"/>
  <c r="D713" i="2"/>
  <c r="A713" i="2"/>
  <c r="H712" i="2"/>
  <c r="I712" i="2" s="1"/>
  <c r="D712" i="2"/>
  <c r="A712" i="2"/>
  <c r="H711" i="2"/>
  <c r="I711" i="2" s="1"/>
  <c r="D711" i="2"/>
  <c r="A711" i="2"/>
  <c r="H710" i="2"/>
  <c r="I710" i="2" s="1"/>
  <c r="D710" i="2"/>
  <c r="A710" i="2"/>
  <c r="H709" i="2"/>
  <c r="I709" i="2" s="1"/>
  <c r="D709" i="2"/>
  <c r="A709" i="2"/>
  <c r="H708" i="2"/>
  <c r="I708" i="2" s="1"/>
  <c r="D708" i="2"/>
  <c r="A708" i="2"/>
  <c r="H707" i="2"/>
  <c r="I707" i="2" s="1"/>
  <c r="D707" i="2"/>
  <c r="A707" i="2"/>
  <c r="H706" i="2"/>
  <c r="I706" i="2" s="1"/>
  <c r="D706" i="2"/>
  <c r="A706" i="2"/>
  <c r="H705" i="2"/>
  <c r="I705" i="2" s="1"/>
  <c r="D705" i="2"/>
  <c r="A705" i="2"/>
  <c r="H704" i="2"/>
  <c r="I704" i="2" s="1"/>
  <c r="D704" i="2"/>
  <c r="A704" i="2"/>
  <c r="H703" i="2"/>
  <c r="I703" i="2" s="1"/>
  <c r="D703" i="2"/>
  <c r="A703" i="2"/>
  <c r="H702" i="2"/>
  <c r="I702" i="2" s="1"/>
  <c r="D702" i="2"/>
  <c r="A702" i="2"/>
  <c r="H701" i="2"/>
  <c r="I701" i="2" s="1"/>
  <c r="D701" i="2"/>
  <c r="A701" i="2"/>
  <c r="H700" i="2"/>
  <c r="I700" i="2" s="1"/>
  <c r="D700" i="2"/>
  <c r="A700" i="2"/>
  <c r="H699" i="2"/>
  <c r="I699" i="2" s="1"/>
  <c r="D699" i="2"/>
  <c r="A699" i="2"/>
  <c r="H698" i="2"/>
  <c r="I698" i="2" s="1"/>
  <c r="D698" i="2"/>
  <c r="A698" i="2"/>
  <c r="H697" i="2"/>
  <c r="I697" i="2" s="1"/>
  <c r="D697" i="2"/>
  <c r="A697" i="2"/>
  <c r="H696" i="2"/>
  <c r="I696" i="2" s="1"/>
  <c r="D696" i="2"/>
  <c r="A696" i="2"/>
  <c r="H695" i="2"/>
  <c r="I695" i="2" s="1"/>
  <c r="D695" i="2"/>
  <c r="A695" i="2"/>
  <c r="H694" i="2"/>
  <c r="I694" i="2" s="1"/>
  <c r="D694" i="2"/>
  <c r="A694" i="2"/>
  <c r="H693" i="2"/>
  <c r="I693" i="2" s="1"/>
  <c r="D693" i="2"/>
  <c r="A693" i="2"/>
  <c r="H692" i="2"/>
  <c r="I692" i="2" s="1"/>
  <c r="D692" i="2"/>
  <c r="A692" i="2"/>
  <c r="H691" i="2"/>
  <c r="I691" i="2" s="1"/>
  <c r="D691" i="2"/>
  <c r="A691" i="2"/>
  <c r="H690" i="2"/>
  <c r="I690" i="2" s="1"/>
  <c r="D690" i="2"/>
  <c r="A690" i="2"/>
  <c r="H689" i="2"/>
  <c r="I689" i="2" s="1"/>
  <c r="D689" i="2"/>
  <c r="A689" i="2"/>
  <c r="H688" i="2"/>
  <c r="I688" i="2" s="1"/>
  <c r="D688" i="2"/>
  <c r="A688" i="2"/>
  <c r="H687" i="2"/>
  <c r="I687" i="2" s="1"/>
  <c r="D687" i="2"/>
  <c r="A687" i="2"/>
  <c r="H686" i="2"/>
  <c r="I686" i="2" s="1"/>
  <c r="D686" i="2"/>
  <c r="A686" i="2"/>
  <c r="H685" i="2"/>
  <c r="I685" i="2" s="1"/>
  <c r="D685" i="2"/>
  <c r="A685" i="2"/>
  <c r="H684" i="2"/>
  <c r="I684" i="2" s="1"/>
  <c r="D684" i="2"/>
  <c r="A684" i="2"/>
  <c r="H683" i="2"/>
  <c r="I683" i="2" s="1"/>
  <c r="D683" i="2"/>
  <c r="A683" i="2"/>
  <c r="H682" i="2"/>
  <c r="I682" i="2" s="1"/>
  <c r="D682" i="2"/>
  <c r="A682" i="2"/>
  <c r="H681" i="2"/>
  <c r="I681" i="2" s="1"/>
  <c r="D681" i="2"/>
  <c r="A681" i="2"/>
  <c r="H680" i="2"/>
  <c r="I680" i="2" s="1"/>
  <c r="D680" i="2"/>
  <c r="A680" i="2"/>
  <c r="H679" i="2"/>
  <c r="I679" i="2" s="1"/>
  <c r="D679" i="2"/>
  <c r="A679" i="2"/>
  <c r="H678" i="2"/>
  <c r="I678" i="2" s="1"/>
  <c r="D678" i="2"/>
  <c r="A678" i="2"/>
  <c r="H677" i="2"/>
  <c r="I677" i="2" s="1"/>
  <c r="D677" i="2"/>
  <c r="A677" i="2"/>
  <c r="H676" i="2"/>
  <c r="I676" i="2" s="1"/>
  <c r="D676" i="2"/>
  <c r="A676" i="2"/>
  <c r="H675" i="2"/>
  <c r="I675" i="2" s="1"/>
  <c r="D675" i="2"/>
  <c r="A675" i="2"/>
  <c r="H674" i="2"/>
  <c r="I674" i="2" s="1"/>
  <c r="D674" i="2"/>
  <c r="A674" i="2"/>
  <c r="H673" i="2"/>
  <c r="I673" i="2" s="1"/>
  <c r="D673" i="2"/>
  <c r="A673" i="2"/>
  <c r="H672" i="2"/>
  <c r="I672" i="2" s="1"/>
  <c r="D672" i="2"/>
  <c r="A672" i="2"/>
  <c r="H671" i="2"/>
  <c r="I671" i="2" s="1"/>
  <c r="D671" i="2"/>
  <c r="A671" i="2"/>
  <c r="H670" i="2"/>
  <c r="I670" i="2" s="1"/>
  <c r="D670" i="2"/>
  <c r="A670" i="2"/>
  <c r="H669" i="2"/>
  <c r="I669" i="2" s="1"/>
  <c r="D669" i="2"/>
  <c r="A669" i="2"/>
  <c r="H668" i="2"/>
  <c r="I668" i="2" s="1"/>
  <c r="D668" i="2"/>
  <c r="A668" i="2"/>
  <c r="H667" i="2"/>
  <c r="I667" i="2" s="1"/>
  <c r="D667" i="2"/>
  <c r="A667" i="2"/>
  <c r="H666" i="2"/>
  <c r="I666" i="2" s="1"/>
  <c r="D666" i="2"/>
  <c r="A666" i="2"/>
  <c r="H665" i="2"/>
  <c r="I665" i="2" s="1"/>
  <c r="D665" i="2"/>
  <c r="A665" i="2"/>
  <c r="H664" i="2"/>
  <c r="I664" i="2" s="1"/>
  <c r="D664" i="2"/>
  <c r="A664" i="2"/>
  <c r="H663" i="2"/>
  <c r="I663" i="2" s="1"/>
  <c r="D663" i="2"/>
  <c r="A663" i="2"/>
  <c r="H662" i="2"/>
  <c r="I662" i="2" s="1"/>
  <c r="D662" i="2"/>
  <c r="A662" i="2"/>
  <c r="H661" i="2"/>
  <c r="I661" i="2" s="1"/>
  <c r="D661" i="2"/>
  <c r="A661" i="2"/>
  <c r="H660" i="2"/>
  <c r="I660" i="2" s="1"/>
  <c r="D660" i="2"/>
  <c r="A660" i="2"/>
  <c r="H659" i="2"/>
  <c r="I659" i="2" s="1"/>
  <c r="D659" i="2"/>
  <c r="A659" i="2"/>
  <c r="H658" i="2"/>
  <c r="I658" i="2" s="1"/>
  <c r="D658" i="2"/>
  <c r="A658" i="2"/>
  <c r="H657" i="2"/>
  <c r="I657" i="2" s="1"/>
  <c r="D657" i="2"/>
  <c r="A657" i="2"/>
  <c r="H656" i="2"/>
  <c r="I656" i="2" s="1"/>
  <c r="D656" i="2"/>
  <c r="A656" i="2"/>
  <c r="H655" i="2"/>
  <c r="I655" i="2" s="1"/>
  <c r="D655" i="2"/>
  <c r="A655" i="2"/>
  <c r="H654" i="2"/>
  <c r="I654" i="2" s="1"/>
  <c r="D654" i="2"/>
  <c r="A654" i="2"/>
  <c r="H653" i="2"/>
  <c r="I653" i="2" s="1"/>
  <c r="D653" i="2"/>
  <c r="A653" i="2"/>
  <c r="H652" i="2"/>
  <c r="I652" i="2" s="1"/>
  <c r="D652" i="2"/>
  <c r="A652" i="2"/>
  <c r="H651" i="2"/>
  <c r="I651" i="2" s="1"/>
  <c r="D651" i="2"/>
  <c r="A651" i="2"/>
  <c r="H650" i="2"/>
  <c r="I650" i="2" s="1"/>
  <c r="D650" i="2"/>
  <c r="A650" i="2"/>
  <c r="H649" i="2"/>
  <c r="I649" i="2" s="1"/>
  <c r="D649" i="2"/>
  <c r="A649" i="2"/>
  <c r="H648" i="2"/>
  <c r="I648" i="2" s="1"/>
  <c r="D648" i="2"/>
  <c r="A648" i="2"/>
  <c r="H647" i="2"/>
  <c r="I647" i="2" s="1"/>
  <c r="D647" i="2"/>
  <c r="A647" i="2"/>
  <c r="H646" i="2"/>
  <c r="I646" i="2" s="1"/>
  <c r="D646" i="2"/>
  <c r="A646" i="2"/>
  <c r="H645" i="2"/>
  <c r="I645" i="2" s="1"/>
  <c r="D645" i="2"/>
  <c r="A645" i="2"/>
  <c r="H644" i="2"/>
  <c r="I644" i="2" s="1"/>
  <c r="D644" i="2"/>
  <c r="A644" i="2"/>
  <c r="H643" i="2"/>
  <c r="I643" i="2" s="1"/>
  <c r="D643" i="2"/>
  <c r="A643" i="2"/>
  <c r="H642" i="2"/>
  <c r="I642" i="2" s="1"/>
  <c r="D642" i="2"/>
  <c r="A642" i="2"/>
  <c r="H641" i="2"/>
  <c r="I641" i="2" s="1"/>
  <c r="D641" i="2"/>
  <c r="A641" i="2"/>
  <c r="H640" i="2"/>
  <c r="I640" i="2" s="1"/>
  <c r="D640" i="2"/>
  <c r="A640" i="2"/>
  <c r="H639" i="2"/>
  <c r="I639" i="2" s="1"/>
  <c r="D639" i="2"/>
  <c r="A639" i="2"/>
  <c r="H638" i="2"/>
  <c r="I638" i="2" s="1"/>
  <c r="D638" i="2"/>
  <c r="A638" i="2"/>
  <c r="H637" i="2"/>
  <c r="I637" i="2" s="1"/>
  <c r="D637" i="2"/>
  <c r="A637" i="2"/>
  <c r="H636" i="2"/>
  <c r="I636" i="2" s="1"/>
  <c r="D636" i="2"/>
  <c r="A636" i="2"/>
  <c r="H635" i="2"/>
  <c r="I635" i="2" s="1"/>
  <c r="D635" i="2"/>
  <c r="A635" i="2"/>
  <c r="H634" i="2"/>
  <c r="I634" i="2" s="1"/>
  <c r="D634" i="2"/>
  <c r="A634" i="2"/>
  <c r="H633" i="2"/>
  <c r="I633" i="2" s="1"/>
  <c r="D633" i="2"/>
  <c r="A633" i="2"/>
  <c r="H632" i="2"/>
  <c r="I632" i="2" s="1"/>
  <c r="D632" i="2"/>
  <c r="A632" i="2"/>
  <c r="H631" i="2"/>
  <c r="I631" i="2" s="1"/>
  <c r="D631" i="2"/>
  <c r="A631" i="2"/>
  <c r="H630" i="2"/>
  <c r="I630" i="2" s="1"/>
  <c r="D630" i="2"/>
  <c r="A630" i="2"/>
  <c r="H629" i="2"/>
  <c r="I629" i="2" s="1"/>
  <c r="D629" i="2"/>
  <c r="A629" i="2"/>
  <c r="H628" i="2"/>
  <c r="I628" i="2" s="1"/>
  <c r="D628" i="2"/>
  <c r="A628" i="2"/>
  <c r="H627" i="2"/>
  <c r="I627" i="2" s="1"/>
  <c r="D627" i="2"/>
  <c r="A627" i="2"/>
  <c r="H626" i="2"/>
  <c r="I626" i="2" s="1"/>
  <c r="D626" i="2"/>
  <c r="A626" i="2"/>
  <c r="H625" i="2"/>
  <c r="I625" i="2" s="1"/>
  <c r="D625" i="2"/>
  <c r="A625" i="2"/>
  <c r="H624" i="2"/>
  <c r="I624" i="2" s="1"/>
  <c r="D624" i="2"/>
  <c r="A624" i="2"/>
  <c r="H623" i="2"/>
  <c r="I623" i="2" s="1"/>
  <c r="D623" i="2"/>
  <c r="A623" i="2"/>
  <c r="H622" i="2"/>
  <c r="I622" i="2" s="1"/>
  <c r="D622" i="2"/>
  <c r="A622" i="2"/>
  <c r="H621" i="2"/>
  <c r="I621" i="2" s="1"/>
  <c r="D621" i="2"/>
  <c r="A621" i="2"/>
  <c r="H620" i="2"/>
  <c r="I620" i="2" s="1"/>
  <c r="D620" i="2"/>
  <c r="A620" i="2"/>
  <c r="H619" i="2"/>
  <c r="I619" i="2" s="1"/>
  <c r="D619" i="2"/>
  <c r="A619" i="2"/>
  <c r="H618" i="2"/>
  <c r="I618" i="2" s="1"/>
  <c r="D618" i="2"/>
  <c r="A618" i="2"/>
  <c r="H617" i="2"/>
  <c r="I617" i="2" s="1"/>
  <c r="D617" i="2"/>
  <c r="A617" i="2"/>
  <c r="H616" i="2"/>
  <c r="I616" i="2" s="1"/>
  <c r="D616" i="2"/>
  <c r="A616" i="2"/>
  <c r="H615" i="2"/>
  <c r="I615" i="2" s="1"/>
  <c r="D615" i="2"/>
  <c r="A615" i="2"/>
  <c r="H614" i="2"/>
  <c r="I614" i="2" s="1"/>
  <c r="D614" i="2"/>
  <c r="A614" i="2"/>
  <c r="H613" i="2"/>
  <c r="I613" i="2" s="1"/>
  <c r="D613" i="2"/>
  <c r="A613" i="2"/>
  <c r="H612" i="2"/>
  <c r="I612" i="2" s="1"/>
  <c r="D612" i="2"/>
  <c r="A612" i="2"/>
  <c r="H611" i="2"/>
  <c r="I611" i="2" s="1"/>
  <c r="D611" i="2"/>
  <c r="A611" i="2"/>
  <c r="H610" i="2"/>
  <c r="I610" i="2" s="1"/>
  <c r="D610" i="2"/>
  <c r="A610" i="2"/>
  <c r="H609" i="2"/>
  <c r="I609" i="2" s="1"/>
  <c r="D609" i="2"/>
  <c r="A609" i="2"/>
  <c r="H608" i="2"/>
  <c r="I608" i="2" s="1"/>
  <c r="D608" i="2"/>
  <c r="A608" i="2"/>
  <c r="H607" i="2"/>
  <c r="I607" i="2" s="1"/>
  <c r="D607" i="2"/>
  <c r="A607" i="2"/>
  <c r="H606" i="2"/>
  <c r="I606" i="2" s="1"/>
  <c r="D606" i="2"/>
  <c r="A606" i="2"/>
  <c r="H605" i="2"/>
  <c r="I605" i="2" s="1"/>
  <c r="D605" i="2"/>
  <c r="A605" i="2"/>
  <c r="H604" i="2"/>
  <c r="I604" i="2" s="1"/>
  <c r="D604" i="2"/>
  <c r="A604" i="2"/>
  <c r="H603" i="2"/>
  <c r="I603" i="2" s="1"/>
  <c r="D603" i="2"/>
  <c r="A603" i="2"/>
  <c r="H602" i="2"/>
  <c r="I602" i="2" s="1"/>
  <c r="D602" i="2"/>
  <c r="A602" i="2"/>
  <c r="H601" i="2"/>
  <c r="I601" i="2" s="1"/>
  <c r="D601" i="2"/>
  <c r="A601" i="2"/>
  <c r="H600" i="2"/>
  <c r="I600" i="2" s="1"/>
  <c r="D600" i="2"/>
  <c r="A600" i="2"/>
  <c r="H599" i="2"/>
  <c r="I599" i="2" s="1"/>
  <c r="D599" i="2"/>
  <c r="A599" i="2"/>
  <c r="H598" i="2"/>
  <c r="I598" i="2" s="1"/>
  <c r="D598" i="2"/>
  <c r="A598" i="2"/>
  <c r="H597" i="2"/>
  <c r="I597" i="2" s="1"/>
  <c r="D597" i="2"/>
  <c r="A597" i="2"/>
  <c r="H596" i="2"/>
  <c r="I596" i="2" s="1"/>
  <c r="D596" i="2"/>
  <c r="A596" i="2"/>
  <c r="H595" i="2"/>
  <c r="I595" i="2" s="1"/>
  <c r="D595" i="2"/>
  <c r="A595" i="2"/>
  <c r="H594" i="2"/>
  <c r="I594" i="2" s="1"/>
  <c r="D594" i="2"/>
  <c r="A594" i="2"/>
  <c r="H593" i="2"/>
  <c r="I593" i="2" s="1"/>
  <c r="D593" i="2"/>
  <c r="A593" i="2"/>
  <c r="H592" i="2"/>
  <c r="I592" i="2" s="1"/>
  <c r="D592" i="2"/>
  <c r="A592" i="2"/>
  <c r="H591" i="2"/>
  <c r="I591" i="2" s="1"/>
  <c r="D591" i="2"/>
  <c r="A591" i="2"/>
  <c r="H590" i="2"/>
  <c r="I590" i="2" s="1"/>
  <c r="D590" i="2"/>
  <c r="A590" i="2"/>
  <c r="H589" i="2"/>
  <c r="I589" i="2" s="1"/>
  <c r="D589" i="2"/>
  <c r="A589" i="2"/>
  <c r="H588" i="2"/>
  <c r="I588" i="2" s="1"/>
  <c r="D588" i="2"/>
  <c r="A588" i="2"/>
  <c r="H587" i="2"/>
  <c r="I587" i="2" s="1"/>
  <c r="D587" i="2"/>
  <c r="A587" i="2"/>
  <c r="H586" i="2"/>
  <c r="I586" i="2" s="1"/>
  <c r="D586" i="2"/>
  <c r="A586" i="2"/>
  <c r="H585" i="2"/>
  <c r="I585" i="2" s="1"/>
  <c r="D585" i="2"/>
  <c r="A585" i="2"/>
  <c r="H584" i="2"/>
  <c r="I584" i="2" s="1"/>
  <c r="D584" i="2"/>
  <c r="A584" i="2"/>
  <c r="H583" i="2"/>
  <c r="I583" i="2" s="1"/>
  <c r="D583" i="2"/>
  <c r="A583" i="2"/>
  <c r="H582" i="2"/>
  <c r="I582" i="2" s="1"/>
  <c r="D582" i="2"/>
  <c r="A582" i="2"/>
  <c r="H581" i="2"/>
  <c r="I581" i="2" s="1"/>
  <c r="D581" i="2"/>
  <c r="A581" i="2"/>
  <c r="H580" i="2"/>
  <c r="I580" i="2" s="1"/>
  <c r="D580" i="2"/>
  <c r="A580" i="2"/>
  <c r="H579" i="2"/>
  <c r="I579" i="2" s="1"/>
  <c r="D579" i="2"/>
  <c r="A579" i="2"/>
  <c r="H578" i="2"/>
  <c r="I578" i="2" s="1"/>
  <c r="D578" i="2"/>
  <c r="A578" i="2"/>
  <c r="H577" i="2"/>
  <c r="I577" i="2" s="1"/>
  <c r="D577" i="2"/>
  <c r="A577" i="2"/>
  <c r="H576" i="2"/>
  <c r="I576" i="2" s="1"/>
  <c r="D576" i="2"/>
  <c r="A576" i="2"/>
  <c r="H575" i="2"/>
  <c r="I575" i="2" s="1"/>
  <c r="D575" i="2"/>
  <c r="A575" i="2"/>
  <c r="H574" i="2"/>
  <c r="I574" i="2" s="1"/>
  <c r="D574" i="2"/>
  <c r="A574" i="2"/>
  <c r="H573" i="2"/>
  <c r="I573" i="2" s="1"/>
  <c r="D573" i="2"/>
  <c r="A573" i="2"/>
  <c r="H572" i="2"/>
  <c r="I572" i="2" s="1"/>
  <c r="D572" i="2"/>
  <c r="A572" i="2"/>
  <c r="H571" i="2"/>
  <c r="I571" i="2" s="1"/>
  <c r="D571" i="2"/>
  <c r="A571" i="2"/>
  <c r="H570" i="2"/>
  <c r="I570" i="2" s="1"/>
  <c r="D570" i="2"/>
  <c r="A570" i="2"/>
  <c r="H569" i="2"/>
  <c r="I569" i="2" s="1"/>
  <c r="D569" i="2"/>
  <c r="A569" i="2"/>
  <c r="H568" i="2"/>
  <c r="I568" i="2" s="1"/>
  <c r="D568" i="2"/>
  <c r="A568" i="2"/>
  <c r="H567" i="2"/>
  <c r="I567" i="2" s="1"/>
  <c r="D567" i="2"/>
  <c r="A567" i="2"/>
  <c r="H566" i="2"/>
  <c r="I566" i="2" s="1"/>
  <c r="D566" i="2"/>
  <c r="A566" i="2"/>
  <c r="H565" i="2"/>
  <c r="I565" i="2" s="1"/>
  <c r="D565" i="2"/>
  <c r="A565" i="2"/>
  <c r="H564" i="2"/>
  <c r="I564" i="2" s="1"/>
  <c r="D564" i="2"/>
  <c r="A564" i="2"/>
  <c r="H563" i="2"/>
  <c r="I563" i="2" s="1"/>
  <c r="D563" i="2"/>
  <c r="A563" i="2"/>
  <c r="H562" i="2"/>
  <c r="I562" i="2" s="1"/>
  <c r="D562" i="2"/>
  <c r="A562" i="2"/>
  <c r="H561" i="2"/>
  <c r="I561" i="2" s="1"/>
  <c r="D561" i="2"/>
  <c r="A561" i="2"/>
  <c r="H560" i="2"/>
  <c r="I560" i="2" s="1"/>
  <c r="D560" i="2"/>
  <c r="A560" i="2"/>
  <c r="H559" i="2"/>
  <c r="I559" i="2" s="1"/>
  <c r="D559" i="2"/>
  <c r="A559" i="2"/>
  <c r="H558" i="2"/>
  <c r="I558" i="2" s="1"/>
  <c r="D558" i="2"/>
  <c r="A558" i="2"/>
  <c r="H557" i="2"/>
  <c r="I557" i="2" s="1"/>
  <c r="D557" i="2"/>
  <c r="A557" i="2"/>
  <c r="H556" i="2"/>
  <c r="I556" i="2" s="1"/>
  <c r="D556" i="2"/>
  <c r="A556" i="2"/>
  <c r="H555" i="2"/>
  <c r="I555" i="2" s="1"/>
  <c r="D555" i="2"/>
  <c r="A555" i="2"/>
  <c r="H554" i="2"/>
  <c r="I554" i="2" s="1"/>
  <c r="D554" i="2"/>
  <c r="A554" i="2"/>
  <c r="H553" i="2"/>
  <c r="I553" i="2" s="1"/>
  <c r="D553" i="2"/>
  <c r="A553" i="2"/>
  <c r="H552" i="2"/>
  <c r="I552" i="2" s="1"/>
  <c r="D552" i="2"/>
  <c r="A552" i="2"/>
  <c r="H551" i="2"/>
  <c r="I551" i="2" s="1"/>
  <c r="D551" i="2"/>
  <c r="A551" i="2"/>
  <c r="H550" i="2"/>
  <c r="I550" i="2" s="1"/>
  <c r="D550" i="2"/>
  <c r="A550" i="2"/>
  <c r="H549" i="2"/>
  <c r="I549" i="2" s="1"/>
  <c r="D549" i="2"/>
  <c r="A549" i="2"/>
  <c r="H548" i="2"/>
  <c r="I548" i="2" s="1"/>
  <c r="D548" i="2"/>
  <c r="A548" i="2"/>
  <c r="H547" i="2"/>
  <c r="I547" i="2" s="1"/>
  <c r="D547" i="2"/>
  <c r="A547" i="2"/>
  <c r="H546" i="2"/>
  <c r="I546" i="2" s="1"/>
  <c r="D546" i="2"/>
  <c r="A546" i="2"/>
  <c r="H545" i="2"/>
  <c r="I545" i="2" s="1"/>
  <c r="D545" i="2"/>
  <c r="A545" i="2"/>
  <c r="H544" i="2"/>
  <c r="I544" i="2" s="1"/>
  <c r="D544" i="2"/>
  <c r="A544" i="2"/>
  <c r="H543" i="2"/>
  <c r="I543" i="2" s="1"/>
  <c r="D543" i="2"/>
  <c r="A543" i="2"/>
  <c r="H542" i="2"/>
  <c r="I542" i="2" s="1"/>
  <c r="D542" i="2"/>
  <c r="A542" i="2"/>
  <c r="H541" i="2"/>
  <c r="I541" i="2" s="1"/>
  <c r="D541" i="2"/>
  <c r="A541" i="2"/>
  <c r="H540" i="2"/>
  <c r="I540" i="2" s="1"/>
  <c r="D540" i="2"/>
  <c r="A540" i="2"/>
  <c r="H539" i="2"/>
  <c r="I539" i="2" s="1"/>
  <c r="D539" i="2"/>
  <c r="A539" i="2"/>
  <c r="H538" i="2"/>
  <c r="I538" i="2" s="1"/>
  <c r="D538" i="2"/>
  <c r="A538" i="2"/>
  <c r="H537" i="2"/>
  <c r="I537" i="2" s="1"/>
  <c r="D537" i="2"/>
  <c r="A537" i="2"/>
  <c r="H536" i="2"/>
  <c r="I536" i="2" s="1"/>
  <c r="D536" i="2"/>
  <c r="A536" i="2"/>
  <c r="H535" i="2"/>
  <c r="I535" i="2" s="1"/>
  <c r="D535" i="2"/>
  <c r="A535" i="2"/>
  <c r="H534" i="2"/>
  <c r="I534" i="2" s="1"/>
  <c r="D534" i="2"/>
  <c r="A534" i="2"/>
  <c r="H533" i="2"/>
  <c r="I533" i="2" s="1"/>
  <c r="D533" i="2"/>
  <c r="A533" i="2"/>
  <c r="H532" i="2"/>
  <c r="I532" i="2" s="1"/>
  <c r="D532" i="2"/>
  <c r="A532" i="2"/>
  <c r="H531" i="2"/>
  <c r="I531" i="2" s="1"/>
  <c r="D531" i="2"/>
  <c r="A531" i="2"/>
  <c r="H530" i="2"/>
  <c r="I530" i="2" s="1"/>
  <c r="D530" i="2"/>
  <c r="A530" i="2"/>
  <c r="H529" i="2"/>
  <c r="I529" i="2" s="1"/>
  <c r="D529" i="2"/>
  <c r="A529" i="2"/>
  <c r="H528" i="2"/>
  <c r="I528" i="2" s="1"/>
  <c r="D528" i="2"/>
  <c r="A528" i="2"/>
  <c r="H527" i="2"/>
  <c r="I527" i="2" s="1"/>
  <c r="D527" i="2"/>
  <c r="A527" i="2"/>
  <c r="H526" i="2"/>
  <c r="I526" i="2" s="1"/>
  <c r="D526" i="2"/>
  <c r="A526" i="2"/>
  <c r="H525" i="2"/>
  <c r="I525" i="2" s="1"/>
  <c r="D525" i="2"/>
  <c r="A525" i="2"/>
  <c r="H524" i="2"/>
  <c r="I524" i="2" s="1"/>
  <c r="D524" i="2"/>
  <c r="A524" i="2"/>
  <c r="H523" i="2"/>
  <c r="I523" i="2" s="1"/>
  <c r="D523" i="2"/>
  <c r="A523" i="2"/>
  <c r="H522" i="2"/>
  <c r="I522" i="2" s="1"/>
  <c r="D522" i="2"/>
  <c r="A522" i="2"/>
  <c r="H521" i="2"/>
  <c r="I521" i="2" s="1"/>
  <c r="D521" i="2"/>
  <c r="A521" i="2"/>
  <c r="H520" i="2"/>
  <c r="I520" i="2" s="1"/>
  <c r="D520" i="2"/>
  <c r="A520" i="2"/>
  <c r="H519" i="2"/>
  <c r="I519" i="2" s="1"/>
  <c r="D519" i="2"/>
  <c r="A519" i="2"/>
  <c r="H518" i="2"/>
  <c r="I518" i="2" s="1"/>
  <c r="D518" i="2"/>
  <c r="A518" i="2"/>
  <c r="H517" i="2"/>
  <c r="I517" i="2" s="1"/>
  <c r="D517" i="2"/>
  <c r="A517" i="2"/>
  <c r="H516" i="2"/>
  <c r="I516" i="2" s="1"/>
  <c r="D516" i="2"/>
  <c r="A516" i="2"/>
  <c r="H515" i="2"/>
  <c r="I515" i="2" s="1"/>
  <c r="D515" i="2"/>
  <c r="A515" i="2"/>
  <c r="H514" i="2"/>
  <c r="I514" i="2" s="1"/>
  <c r="D514" i="2"/>
  <c r="A514" i="2"/>
  <c r="H513" i="2"/>
  <c r="I513" i="2" s="1"/>
  <c r="D513" i="2"/>
  <c r="A513" i="2"/>
  <c r="H512" i="2"/>
  <c r="I512" i="2" s="1"/>
  <c r="D512" i="2"/>
  <c r="A512" i="2"/>
  <c r="H511" i="2"/>
  <c r="I511" i="2" s="1"/>
  <c r="D511" i="2"/>
  <c r="A511" i="2"/>
  <c r="H510" i="2"/>
  <c r="I510" i="2" s="1"/>
  <c r="D510" i="2"/>
  <c r="A510" i="2"/>
  <c r="H509" i="2"/>
  <c r="I509" i="2" s="1"/>
  <c r="D509" i="2"/>
  <c r="A509" i="2"/>
  <c r="H508" i="2"/>
  <c r="I508" i="2" s="1"/>
  <c r="D508" i="2"/>
  <c r="A508" i="2"/>
  <c r="H507" i="2"/>
  <c r="I507" i="2" s="1"/>
  <c r="D507" i="2"/>
  <c r="A507" i="2"/>
  <c r="H506" i="2"/>
  <c r="I506" i="2" s="1"/>
  <c r="D506" i="2"/>
  <c r="A506" i="2"/>
  <c r="H505" i="2"/>
  <c r="I505" i="2" s="1"/>
  <c r="D505" i="2"/>
  <c r="A505" i="2"/>
  <c r="H504" i="2"/>
  <c r="I504" i="2" s="1"/>
  <c r="D504" i="2"/>
  <c r="A504" i="2"/>
  <c r="H503" i="2"/>
  <c r="I503" i="2" s="1"/>
  <c r="D503" i="2"/>
  <c r="A503" i="2"/>
  <c r="H502" i="2"/>
  <c r="I502" i="2" s="1"/>
  <c r="D502" i="2"/>
  <c r="A502" i="2"/>
  <c r="H501" i="2"/>
  <c r="I501" i="2" s="1"/>
  <c r="D501" i="2"/>
  <c r="A501" i="2"/>
  <c r="H500" i="2"/>
  <c r="I500" i="2" s="1"/>
  <c r="D500" i="2"/>
  <c r="A500" i="2"/>
  <c r="H499" i="2"/>
  <c r="I499" i="2" s="1"/>
  <c r="D499" i="2"/>
  <c r="A499" i="2"/>
  <c r="H498" i="2"/>
  <c r="I498" i="2" s="1"/>
  <c r="D498" i="2"/>
  <c r="A498" i="2"/>
  <c r="H497" i="2"/>
  <c r="I497" i="2" s="1"/>
  <c r="D497" i="2"/>
  <c r="A497" i="2"/>
  <c r="H496" i="2"/>
  <c r="I496" i="2" s="1"/>
  <c r="D496" i="2"/>
  <c r="A496" i="2"/>
  <c r="H495" i="2"/>
  <c r="I495" i="2" s="1"/>
  <c r="D495" i="2"/>
  <c r="A495" i="2"/>
  <c r="H494" i="2"/>
  <c r="I494" i="2" s="1"/>
  <c r="D494" i="2"/>
  <c r="A494" i="2"/>
  <c r="H493" i="2"/>
  <c r="I493" i="2" s="1"/>
  <c r="D493" i="2"/>
  <c r="A493" i="2"/>
  <c r="H492" i="2"/>
  <c r="I492" i="2" s="1"/>
  <c r="D492" i="2"/>
  <c r="A492" i="2"/>
  <c r="H491" i="2"/>
  <c r="I491" i="2" s="1"/>
  <c r="D491" i="2"/>
  <c r="A491" i="2"/>
  <c r="H490" i="2"/>
  <c r="I490" i="2" s="1"/>
  <c r="D490" i="2"/>
  <c r="A490" i="2"/>
  <c r="H489" i="2"/>
  <c r="I489" i="2" s="1"/>
  <c r="D489" i="2"/>
  <c r="A489" i="2"/>
  <c r="H488" i="2"/>
  <c r="I488" i="2" s="1"/>
  <c r="D488" i="2"/>
  <c r="A488" i="2"/>
  <c r="H487" i="2"/>
  <c r="I487" i="2" s="1"/>
  <c r="D487" i="2"/>
  <c r="A487" i="2"/>
  <c r="H486" i="2"/>
  <c r="I486" i="2" s="1"/>
  <c r="D486" i="2"/>
  <c r="A486" i="2"/>
  <c r="H485" i="2"/>
  <c r="I485" i="2" s="1"/>
  <c r="D485" i="2"/>
  <c r="A485" i="2"/>
  <c r="H484" i="2"/>
  <c r="I484" i="2" s="1"/>
  <c r="D484" i="2"/>
  <c r="A484" i="2"/>
  <c r="H483" i="2"/>
  <c r="I483" i="2" s="1"/>
  <c r="D483" i="2"/>
  <c r="A483" i="2"/>
  <c r="H482" i="2"/>
  <c r="I482" i="2" s="1"/>
  <c r="D482" i="2"/>
  <c r="A482" i="2"/>
  <c r="H481" i="2"/>
  <c r="I481" i="2" s="1"/>
  <c r="D481" i="2"/>
  <c r="A481" i="2"/>
  <c r="H480" i="2"/>
  <c r="I480" i="2" s="1"/>
  <c r="D480" i="2"/>
  <c r="A480" i="2"/>
  <c r="H479" i="2"/>
  <c r="I479" i="2" s="1"/>
  <c r="D479" i="2"/>
  <c r="A479" i="2"/>
  <c r="H478" i="2"/>
  <c r="I478" i="2" s="1"/>
  <c r="D478" i="2"/>
  <c r="A478" i="2"/>
  <c r="H477" i="2"/>
  <c r="I477" i="2" s="1"/>
  <c r="D477" i="2"/>
  <c r="A477" i="2"/>
  <c r="H476" i="2"/>
  <c r="I476" i="2" s="1"/>
  <c r="D476" i="2"/>
  <c r="A476" i="2"/>
  <c r="H475" i="2"/>
  <c r="I475" i="2" s="1"/>
  <c r="D475" i="2"/>
  <c r="A475" i="2"/>
  <c r="H474" i="2"/>
  <c r="I474" i="2" s="1"/>
  <c r="D474" i="2"/>
  <c r="A474" i="2"/>
  <c r="H473" i="2"/>
  <c r="I473" i="2" s="1"/>
  <c r="D473" i="2"/>
  <c r="A473" i="2"/>
  <c r="H472" i="2"/>
  <c r="I472" i="2" s="1"/>
  <c r="D472" i="2"/>
  <c r="A472" i="2"/>
  <c r="H471" i="2"/>
  <c r="I471" i="2" s="1"/>
  <c r="D471" i="2"/>
  <c r="A471" i="2"/>
  <c r="H470" i="2"/>
  <c r="I470" i="2" s="1"/>
  <c r="D470" i="2"/>
  <c r="A470" i="2"/>
  <c r="H469" i="2"/>
  <c r="I469" i="2" s="1"/>
  <c r="D469" i="2"/>
  <c r="A469" i="2"/>
  <c r="H468" i="2"/>
  <c r="I468" i="2" s="1"/>
  <c r="D468" i="2"/>
  <c r="A468" i="2"/>
  <c r="H467" i="2"/>
  <c r="I467" i="2" s="1"/>
  <c r="D467" i="2"/>
  <c r="A467" i="2"/>
  <c r="H466" i="2"/>
  <c r="I466" i="2" s="1"/>
  <c r="D466" i="2"/>
  <c r="A466" i="2"/>
  <c r="H465" i="2"/>
  <c r="I465" i="2" s="1"/>
  <c r="D465" i="2"/>
  <c r="A465" i="2"/>
  <c r="H464" i="2"/>
  <c r="I464" i="2" s="1"/>
  <c r="D464" i="2"/>
  <c r="A464" i="2"/>
  <c r="H463" i="2"/>
  <c r="I463" i="2" s="1"/>
  <c r="D463" i="2"/>
  <c r="A463" i="2"/>
  <c r="H462" i="2"/>
  <c r="I462" i="2" s="1"/>
  <c r="D462" i="2"/>
  <c r="A462" i="2"/>
  <c r="H461" i="2"/>
  <c r="I461" i="2" s="1"/>
  <c r="D461" i="2"/>
  <c r="A461" i="2"/>
  <c r="H460" i="2"/>
  <c r="I460" i="2" s="1"/>
  <c r="D460" i="2"/>
  <c r="A460" i="2"/>
  <c r="H459" i="2"/>
  <c r="I459" i="2" s="1"/>
  <c r="D459" i="2"/>
  <c r="A459" i="2"/>
  <c r="H458" i="2"/>
  <c r="I458" i="2" s="1"/>
  <c r="D458" i="2"/>
  <c r="A458" i="2"/>
  <c r="H457" i="2"/>
  <c r="I457" i="2" s="1"/>
  <c r="D457" i="2"/>
  <c r="A457" i="2"/>
  <c r="H456" i="2"/>
  <c r="I456" i="2" s="1"/>
  <c r="D456" i="2"/>
  <c r="A456" i="2"/>
  <c r="H455" i="2"/>
  <c r="I455" i="2" s="1"/>
  <c r="D455" i="2"/>
  <c r="A455" i="2"/>
  <c r="H454" i="2"/>
  <c r="I454" i="2" s="1"/>
  <c r="D454" i="2"/>
  <c r="A454" i="2"/>
  <c r="H453" i="2"/>
  <c r="I453" i="2" s="1"/>
  <c r="D453" i="2"/>
  <c r="A453" i="2"/>
  <c r="H452" i="2"/>
  <c r="I452" i="2" s="1"/>
  <c r="D452" i="2"/>
  <c r="A452" i="2"/>
  <c r="H451" i="2"/>
  <c r="I451" i="2" s="1"/>
  <c r="D451" i="2"/>
  <c r="A451" i="2"/>
  <c r="H450" i="2"/>
  <c r="I450" i="2" s="1"/>
  <c r="D450" i="2"/>
  <c r="A450" i="2"/>
  <c r="H449" i="2"/>
  <c r="I449" i="2" s="1"/>
  <c r="D449" i="2"/>
  <c r="A449" i="2"/>
  <c r="H448" i="2"/>
  <c r="I448" i="2" s="1"/>
  <c r="D448" i="2"/>
  <c r="A448" i="2"/>
  <c r="H447" i="2"/>
  <c r="I447" i="2" s="1"/>
  <c r="D447" i="2"/>
  <c r="A447" i="2"/>
  <c r="H446" i="2"/>
  <c r="I446" i="2" s="1"/>
  <c r="D446" i="2"/>
  <c r="A446" i="2"/>
  <c r="H445" i="2"/>
  <c r="I445" i="2" s="1"/>
  <c r="D445" i="2"/>
  <c r="A445" i="2"/>
  <c r="H444" i="2"/>
  <c r="I444" i="2" s="1"/>
  <c r="D444" i="2"/>
  <c r="A444" i="2"/>
  <c r="H443" i="2"/>
  <c r="I443" i="2" s="1"/>
  <c r="D443" i="2"/>
  <c r="A443" i="2"/>
  <c r="H442" i="2"/>
  <c r="I442" i="2" s="1"/>
  <c r="D442" i="2"/>
  <c r="A442" i="2"/>
  <c r="H441" i="2"/>
  <c r="I441" i="2" s="1"/>
  <c r="D441" i="2"/>
  <c r="A441" i="2"/>
  <c r="H440" i="2"/>
  <c r="I440" i="2" s="1"/>
  <c r="D440" i="2"/>
  <c r="A440" i="2"/>
  <c r="H439" i="2"/>
  <c r="I439" i="2" s="1"/>
  <c r="D439" i="2"/>
  <c r="A439" i="2"/>
  <c r="H438" i="2"/>
  <c r="I438" i="2" s="1"/>
  <c r="D438" i="2"/>
  <c r="A438" i="2"/>
  <c r="H437" i="2"/>
  <c r="I437" i="2" s="1"/>
  <c r="D437" i="2"/>
  <c r="A437" i="2"/>
  <c r="H436" i="2"/>
  <c r="I436" i="2" s="1"/>
  <c r="D436" i="2"/>
  <c r="A436" i="2"/>
  <c r="H435" i="2"/>
  <c r="I435" i="2" s="1"/>
  <c r="D435" i="2"/>
  <c r="A435" i="2"/>
  <c r="H434" i="2"/>
  <c r="I434" i="2" s="1"/>
  <c r="D434" i="2"/>
  <c r="A434" i="2"/>
  <c r="H433" i="2"/>
  <c r="I433" i="2" s="1"/>
  <c r="D433" i="2"/>
  <c r="A433" i="2"/>
  <c r="H432" i="2"/>
  <c r="I432" i="2" s="1"/>
  <c r="D432" i="2"/>
  <c r="A432" i="2"/>
  <c r="H431" i="2"/>
  <c r="I431" i="2" s="1"/>
  <c r="D431" i="2"/>
  <c r="A431" i="2"/>
  <c r="H430" i="2"/>
  <c r="I430" i="2" s="1"/>
  <c r="D430" i="2"/>
  <c r="A430" i="2"/>
  <c r="H429" i="2"/>
  <c r="I429" i="2" s="1"/>
  <c r="D429" i="2"/>
  <c r="A429" i="2"/>
  <c r="H428" i="2"/>
  <c r="I428" i="2" s="1"/>
  <c r="D428" i="2"/>
  <c r="A428" i="2"/>
  <c r="H427" i="2"/>
  <c r="I427" i="2" s="1"/>
  <c r="D427" i="2"/>
  <c r="A427" i="2"/>
  <c r="H426" i="2"/>
  <c r="I426" i="2" s="1"/>
  <c r="D426" i="2"/>
  <c r="A426" i="2"/>
  <c r="H425" i="2"/>
  <c r="I425" i="2" s="1"/>
  <c r="D425" i="2"/>
  <c r="A425" i="2"/>
  <c r="H424" i="2"/>
  <c r="I424" i="2" s="1"/>
  <c r="D424" i="2"/>
  <c r="A424" i="2"/>
  <c r="H423" i="2"/>
  <c r="I423" i="2" s="1"/>
  <c r="D423" i="2"/>
  <c r="A423" i="2"/>
  <c r="H422" i="2"/>
  <c r="I422" i="2" s="1"/>
  <c r="D422" i="2"/>
  <c r="A422" i="2"/>
  <c r="H421" i="2"/>
  <c r="I421" i="2" s="1"/>
  <c r="D421" i="2"/>
  <c r="A421" i="2"/>
  <c r="H420" i="2"/>
  <c r="I420" i="2" s="1"/>
  <c r="D420" i="2"/>
  <c r="A420" i="2"/>
  <c r="H419" i="2"/>
  <c r="I419" i="2" s="1"/>
  <c r="D419" i="2"/>
  <c r="A419" i="2"/>
  <c r="H418" i="2"/>
  <c r="I418" i="2" s="1"/>
  <c r="D418" i="2"/>
  <c r="A418" i="2"/>
  <c r="H417" i="2"/>
  <c r="I417" i="2" s="1"/>
  <c r="D417" i="2"/>
  <c r="A417" i="2"/>
  <c r="H416" i="2"/>
  <c r="I416" i="2" s="1"/>
  <c r="D416" i="2"/>
  <c r="A416" i="2"/>
  <c r="H415" i="2"/>
  <c r="I415" i="2" s="1"/>
  <c r="D415" i="2"/>
  <c r="A415" i="2"/>
  <c r="H414" i="2"/>
  <c r="I414" i="2" s="1"/>
  <c r="D414" i="2"/>
  <c r="A414" i="2"/>
  <c r="H413" i="2"/>
  <c r="I413" i="2" s="1"/>
  <c r="D413" i="2"/>
  <c r="A413" i="2"/>
  <c r="H412" i="2"/>
  <c r="I412" i="2" s="1"/>
  <c r="D412" i="2"/>
  <c r="A412" i="2"/>
  <c r="H411" i="2"/>
  <c r="I411" i="2" s="1"/>
  <c r="D411" i="2"/>
  <c r="A411" i="2"/>
  <c r="H410" i="2"/>
  <c r="I410" i="2" s="1"/>
  <c r="D410" i="2"/>
  <c r="A410" i="2"/>
  <c r="H409" i="2"/>
  <c r="I409" i="2" s="1"/>
  <c r="D409" i="2"/>
  <c r="A409" i="2"/>
  <c r="H408" i="2"/>
  <c r="I408" i="2" s="1"/>
  <c r="D408" i="2"/>
  <c r="A408" i="2"/>
  <c r="H407" i="2"/>
  <c r="I407" i="2" s="1"/>
  <c r="D407" i="2"/>
  <c r="A407" i="2"/>
  <c r="H406" i="2"/>
  <c r="I406" i="2" s="1"/>
  <c r="D406" i="2"/>
  <c r="A406" i="2"/>
  <c r="H405" i="2"/>
  <c r="I405" i="2" s="1"/>
  <c r="D405" i="2"/>
  <c r="A405" i="2"/>
  <c r="H404" i="2"/>
  <c r="I404" i="2" s="1"/>
  <c r="D404" i="2"/>
  <c r="A404" i="2"/>
  <c r="H403" i="2"/>
  <c r="I403" i="2" s="1"/>
  <c r="D403" i="2"/>
  <c r="A403" i="2"/>
  <c r="H402" i="2"/>
  <c r="I402" i="2" s="1"/>
  <c r="D402" i="2"/>
  <c r="A402" i="2"/>
  <c r="H401" i="2"/>
  <c r="I401" i="2" s="1"/>
  <c r="D401" i="2"/>
  <c r="A401" i="2"/>
  <c r="H400" i="2"/>
  <c r="I400" i="2" s="1"/>
  <c r="D400" i="2"/>
  <c r="A400" i="2"/>
  <c r="H399" i="2"/>
  <c r="I399" i="2" s="1"/>
  <c r="D399" i="2"/>
  <c r="A399" i="2"/>
  <c r="H398" i="2"/>
  <c r="I398" i="2" s="1"/>
  <c r="D398" i="2"/>
  <c r="A398" i="2"/>
  <c r="H397" i="2"/>
  <c r="I397" i="2" s="1"/>
  <c r="D397" i="2"/>
  <c r="A397" i="2"/>
  <c r="H396" i="2"/>
  <c r="I396" i="2" s="1"/>
  <c r="D396" i="2"/>
  <c r="A396" i="2"/>
  <c r="H395" i="2"/>
  <c r="I395" i="2" s="1"/>
  <c r="D395" i="2"/>
  <c r="A395" i="2"/>
  <c r="H394" i="2"/>
  <c r="I394" i="2" s="1"/>
  <c r="D394" i="2"/>
  <c r="A394" i="2"/>
  <c r="H393" i="2"/>
  <c r="I393" i="2" s="1"/>
  <c r="D393" i="2"/>
  <c r="A393" i="2"/>
  <c r="H392" i="2"/>
  <c r="I392" i="2" s="1"/>
  <c r="D392" i="2"/>
  <c r="A392" i="2"/>
  <c r="H391" i="2"/>
  <c r="I391" i="2" s="1"/>
  <c r="D391" i="2"/>
  <c r="A391" i="2"/>
  <c r="H390" i="2"/>
  <c r="I390" i="2" s="1"/>
  <c r="D390" i="2"/>
  <c r="A390" i="2"/>
  <c r="H389" i="2"/>
  <c r="I389" i="2" s="1"/>
  <c r="D389" i="2"/>
  <c r="A389" i="2"/>
  <c r="H388" i="2"/>
  <c r="I388" i="2" s="1"/>
  <c r="D388" i="2"/>
  <c r="A388" i="2"/>
  <c r="H387" i="2"/>
  <c r="I387" i="2" s="1"/>
  <c r="D387" i="2"/>
  <c r="A387" i="2"/>
  <c r="H386" i="2"/>
  <c r="I386" i="2" s="1"/>
  <c r="D386" i="2"/>
  <c r="A386" i="2"/>
  <c r="H385" i="2"/>
  <c r="I385" i="2" s="1"/>
  <c r="D385" i="2"/>
  <c r="A385" i="2"/>
  <c r="H384" i="2"/>
  <c r="I384" i="2" s="1"/>
  <c r="D384" i="2"/>
  <c r="A384" i="2"/>
  <c r="H383" i="2"/>
  <c r="I383" i="2" s="1"/>
  <c r="D383" i="2"/>
  <c r="A383" i="2"/>
  <c r="H382" i="2"/>
  <c r="I382" i="2" s="1"/>
  <c r="D382" i="2"/>
  <c r="A382" i="2"/>
  <c r="H381" i="2"/>
  <c r="I381" i="2" s="1"/>
  <c r="D381" i="2"/>
  <c r="A381" i="2"/>
  <c r="H380" i="2"/>
  <c r="I380" i="2" s="1"/>
  <c r="D380" i="2"/>
  <c r="A380" i="2"/>
  <c r="H379" i="2"/>
  <c r="I379" i="2" s="1"/>
  <c r="D379" i="2"/>
  <c r="A379" i="2"/>
  <c r="H378" i="2"/>
  <c r="I378" i="2" s="1"/>
  <c r="D378" i="2"/>
  <c r="A378" i="2"/>
  <c r="H377" i="2"/>
  <c r="I377" i="2" s="1"/>
  <c r="D377" i="2"/>
  <c r="A377" i="2"/>
  <c r="H376" i="2"/>
  <c r="I376" i="2" s="1"/>
  <c r="D376" i="2"/>
  <c r="A376" i="2"/>
  <c r="H375" i="2"/>
  <c r="I375" i="2" s="1"/>
  <c r="D375" i="2"/>
  <c r="A375" i="2"/>
  <c r="H374" i="2"/>
  <c r="I374" i="2" s="1"/>
  <c r="D374" i="2"/>
  <c r="A374" i="2"/>
  <c r="H373" i="2"/>
  <c r="I373" i="2" s="1"/>
  <c r="D373" i="2"/>
  <c r="A373" i="2"/>
  <c r="H372" i="2"/>
  <c r="I372" i="2" s="1"/>
  <c r="D372" i="2"/>
  <c r="A372" i="2"/>
  <c r="H371" i="2"/>
  <c r="I371" i="2" s="1"/>
  <c r="D371" i="2"/>
  <c r="A371" i="2"/>
  <c r="H370" i="2"/>
  <c r="I370" i="2" s="1"/>
  <c r="D370" i="2"/>
  <c r="A370" i="2"/>
  <c r="H369" i="2"/>
  <c r="I369" i="2" s="1"/>
  <c r="D369" i="2"/>
  <c r="A369" i="2"/>
  <c r="H368" i="2"/>
  <c r="I368" i="2" s="1"/>
  <c r="D368" i="2"/>
  <c r="A368" i="2"/>
  <c r="H367" i="2"/>
  <c r="I367" i="2" s="1"/>
  <c r="D367" i="2"/>
  <c r="A367" i="2"/>
  <c r="H366" i="2"/>
  <c r="I366" i="2" s="1"/>
  <c r="D366" i="2"/>
  <c r="A366" i="2"/>
  <c r="H365" i="2"/>
  <c r="I365" i="2" s="1"/>
  <c r="D365" i="2"/>
  <c r="A365" i="2"/>
  <c r="H364" i="2"/>
  <c r="I364" i="2" s="1"/>
  <c r="D364" i="2"/>
  <c r="A364" i="2"/>
  <c r="H363" i="2"/>
  <c r="I363" i="2" s="1"/>
  <c r="D363" i="2"/>
  <c r="A363" i="2"/>
  <c r="H362" i="2"/>
  <c r="I362" i="2" s="1"/>
  <c r="D362" i="2"/>
  <c r="A362" i="2"/>
  <c r="H361" i="2"/>
  <c r="I361" i="2" s="1"/>
  <c r="D361" i="2"/>
  <c r="A361" i="2"/>
  <c r="H360" i="2"/>
  <c r="I360" i="2" s="1"/>
  <c r="D360" i="2"/>
  <c r="A360" i="2"/>
  <c r="H359" i="2"/>
  <c r="I359" i="2" s="1"/>
  <c r="D359" i="2"/>
  <c r="A359" i="2"/>
  <c r="H358" i="2"/>
  <c r="I358" i="2" s="1"/>
  <c r="D358" i="2"/>
  <c r="A358" i="2"/>
  <c r="H357" i="2"/>
  <c r="I357" i="2" s="1"/>
  <c r="D357" i="2"/>
  <c r="A357" i="2"/>
  <c r="H356" i="2"/>
  <c r="I356" i="2" s="1"/>
  <c r="D356" i="2"/>
  <c r="A356" i="2"/>
  <c r="H355" i="2"/>
  <c r="I355" i="2" s="1"/>
  <c r="D355" i="2"/>
  <c r="A355" i="2"/>
  <c r="H354" i="2"/>
  <c r="I354" i="2" s="1"/>
  <c r="D354" i="2"/>
  <c r="A354" i="2"/>
  <c r="H353" i="2"/>
  <c r="I353" i="2" s="1"/>
  <c r="D353" i="2"/>
  <c r="A353" i="2"/>
  <c r="H352" i="2"/>
  <c r="I352" i="2" s="1"/>
  <c r="D352" i="2"/>
  <c r="A352" i="2"/>
  <c r="H351" i="2"/>
  <c r="I351" i="2" s="1"/>
  <c r="D351" i="2"/>
  <c r="A351" i="2"/>
  <c r="H350" i="2"/>
  <c r="I350" i="2" s="1"/>
  <c r="D350" i="2"/>
  <c r="A350" i="2"/>
  <c r="H349" i="2"/>
  <c r="I349" i="2" s="1"/>
  <c r="D349" i="2"/>
  <c r="A349" i="2"/>
  <c r="H348" i="2"/>
  <c r="I348" i="2" s="1"/>
  <c r="D348" i="2"/>
  <c r="A348" i="2"/>
  <c r="H347" i="2"/>
  <c r="I347" i="2" s="1"/>
  <c r="D347" i="2"/>
  <c r="A347" i="2"/>
  <c r="H346" i="2"/>
  <c r="I346" i="2" s="1"/>
  <c r="D346" i="2"/>
  <c r="A346" i="2"/>
  <c r="H345" i="2"/>
  <c r="I345" i="2" s="1"/>
  <c r="D345" i="2"/>
  <c r="A345" i="2"/>
  <c r="H344" i="2"/>
  <c r="I344" i="2" s="1"/>
  <c r="D344" i="2"/>
  <c r="A344" i="2"/>
  <c r="H343" i="2"/>
  <c r="I343" i="2" s="1"/>
  <c r="D343" i="2"/>
  <c r="A343" i="2"/>
  <c r="H342" i="2"/>
  <c r="I342" i="2" s="1"/>
  <c r="D342" i="2"/>
  <c r="A342" i="2"/>
  <c r="H341" i="2"/>
  <c r="I341" i="2" s="1"/>
  <c r="D341" i="2"/>
  <c r="A341" i="2"/>
  <c r="H340" i="2"/>
  <c r="I340" i="2" s="1"/>
  <c r="D340" i="2"/>
  <c r="A340" i="2"/>
  <c r="H339" i="2"/>
  <c r="I339" i="2" s="1"/>
  <c r="D339" i="2"/>
  <c r="A339" i="2"/>
  <c r="H338" i="2"/>
  <c r="I338" i="2" s="1"/>
  <c r="D338" i="2"/>
  <c r="A338" i="2"/>
  <c r="H337" i="2"/>
  <c r="I337" i="2" s="1"/>
  <c r="D337" i="2"/>
  <c r="A337" i="2"/>
  <c r="H336" i="2"/>
  <c r="I336" i="2" s="1"/>
  <c r="D336" i="2"/>
  <c r="A336" i="2"/>
  <c r="H335" i="2"/>
  <c r="I335" i="2" s="1"/>
  <c r="D335" i="2"/>
  <c r="A335" i="2"/>
  <c r="H334" i="2"/>
  <c r="I334" i="2" s="1"/>
  <c r="D334" i="2"/>
  <c r="A334" i="2"/>
  <c r="H333" i="2"/>
  <c r="I333" i="2" s="1"/>
  <c r="D333" i="2"/>
  <c r="A333" i="2"/>
  <c r="H332" i="2"/>
  <c r="I332" i="2" s="1"/>
  <c r="D332" i="2"/>
  <c r="A332" i="2"/>
  <c r="H331" i="2"/>
  <c r="I331" i="2" s="1"/>
  <c r="D331" i="2"/>
  <c r="A331" i="2"/>
  <c r="H330" i="2"/>
  <c r="I330" i="2" s="1"/>
  <c r="D330" i="2"/>
  <c r="A330" i="2"/>
  <c r="H329" i="2"/>
  <c r="I329" i="2" s="1"/>
  <c r="D329" i="2"/>
  <c r="A329" i="2"/>
  <c r="H328" i="2"/>
  <c r="I328" i="2" s="1"/>
  <c r="D328" i="2"/>
  <c r="A328" i="2"/>
  <c r="H327" i="2"/>
  <c r="I327" i="2" s="1"/>
  <c r="D327" i="2"/>
  <c r="A327" i="2"/>
  <c r="H326" i="2"/>
  <c r="I326" i="2" s="1"/>
  <c r="D326" i="2"/>
  <c r="A326" i="2"/>
  <c r="H325" i="2"/>
  <c r="I325" i="2" s="1"/>
  <c r="D325" i="2"/>
  <c r="A325" i="2"/>
  <c r="H324" i="2"/>
  <c r="I324" i="2" s="1"/>
  <c r="D324" i="2"/>
  <c r="A324" i="2"/>
  <c r="H323" i="2"/>
  <c r="I323" i="2" s="1"/>
  <c r="D323" i="2"/>
  <c r="A323" i="2"/>
  <c r="H322" i="2"/>
  <c r="I322" i="2" s="1"/>
  <c r="D322" i="2"/>
  <c r="A322" i="2"/>
  <c r="H321" i="2"/>
  <c r="I321" i="2" s="1"/>
  <c r="D321" i="2"/>
  <c r="A321" i="2"/>
  <c r="H320" i="2"/>
  <c r="I320" i="2" s="1"/>
  <c r="D320" i="2"/>
  <c r="A320" i="2"/>
  <c r="H319" i="2"/>
  <c r="I319" i="2" s="1"/>
  <c r="D319" i="2"/>
  <c r="A319" i="2"/>
  <c r="H318" i="2"/>
  <c r="I318" i="2" s="1"/>
  <c r="D318" i="2"/>
  <c r="A318" i="2"/>
  <c r="H317" i="2"/>
  <c r="I317" i="2" s="1"/>
  <c r="D317" i="2"/>
  <c r="A317" i="2"/>
  <c r="H316" i="2"/>
  <c r="I316" i="2" s="1"/>
  <c r="D316" i="2"/>
  <c r="A316" i="2"/>
  <c r="H315" i="2"/>
  <c r="I315" i="2" s="1"/>
  <c r="D315" i="2"/>
  <c r="A315" i="2"/>
  <c r="H314" i="2"/>
  <c r="I314" i="2" s="1"/>
  <c r="D314" i="2"/>
  <c r="A314" i="2"/>
  <c r="H313" i="2"/>
  <c r="I313" i="2" s="1"/>
  <c r="D313" i="2"/>
  <c r="A313" i="2"/>
  <c r="H312" i="2"/>
  <c r="I312" i="2" s="1"/>
  <c r="D312" i="2"/>
  <c r="A312" i="2"/>
  <c r="H311" i="2"/>
  <c r="I311" i="2" s="1"/>
  <c r="D311" i="2"/>
  <c r="A311" i="2"/>
  <c r="H310" i="2"/>
  <c r="I310" i="2" s="1"/>
  <c r="D310" i="2"/>
  <c r="A310" i="2"/>
  <c r="H309" i="2"/>
  <c r="I309" i="2" s="1"/>
  <c r="D309" i="2"/>
  <c r="A309" i="2"/>
  <c r="H308" i="2"/>
  <c r="I308" i="2" s="1"/>
  <c r="D308" i="2"/>
  <c r="A308" i="2"/>
  <c r="H307" i="2"/>
  <c r="I307" i="2" s="1"/>
  <c r="D307" i="2"/>
  <c r="A307" i="2"/>
  <c r="H306" i="2"/>
  <c r="I306" i="2" s="1"/>
  <c r="D306" i="2"/>
  <c r="A306" i="2"/>
  <c r="H305" i="2"/>
  <c r="I305" i="2" s="1"/>
  <c r="D305" i="2"/>
  <c r="A305" i="2"/>
  <c r="H304" i="2"/>
  <c r="I304" i="2" s="1"/>
  <c r="D304" i="2"/>
  <c r="A304" i="2"/>
  <c r="H303" i="2"/>
  <c r="I303" i="2" s="1"/>
  <c r="D303" i="2"/>
  <c r="A303" i="2"/>
  <c r="H302" i="2"/>
  <c r="I302" i="2" s="1"/>
  <c r="D302" i="2"/>
  <c r="A302" i="2"/>
  <c r="H301" i="2"/>
  <c r="I301" i="2" s="1"/>
  <c r="D301" i="2"/>
  <c r="A301" i="2"/>
  <c r="H300" i="2"/>
  <c r="I300" i="2" s="1"/>
  <c r="D300" i="2"/>
  <c r="A300" i="2"/>
  <c r="H299" i="2"/>
  <c r="I299" i="2" s="1"/>
  <c r="D299" i="2"/>
  <c r="A299" i="2"/>
  <c r="H298" i="2"/>
  <c r="I298" i="2" s="1"/>
  <c r="D298" i="2"/>
  <c r="A298" i="2"/>
  <c r="H297" i="2"/>
  <c r="I297" i="2" s="1"/>
  <c r="D297" i="2"/>
  <c r="A297" i="2"/>
  <c r="H296" i="2"/>
  <c r="I296" i="2" s="1"/>
  <c r="D296" i="2"/>
  <c r="A296" i="2"/>
  <c r="H295" i="2"/>
  <c r="I295" i="2" s="1"/>
  <c r="D295" i="2"/>
  <c r="A295" i="2"/>
  <c r="H294" i="2"/>
  <c r="I294" i="2" s="1"/>
  <c r="D294" i="2"/>
  <c r="A294" i="2"/>
  <c r="H293" i="2"/>
  <c r="I293" i="2" s="1"/>
  <c r="D293" i="2"/>
  <c r="A293" i="2"/>
  <c r="H292" i="2"/>
  <c r="I292" i="2" s="1"/>
  <c r="D292" i="2"/>
  <c r="A292" i="2"/>
  <c r="H291" i="2"/>
  <c r="I291" i="2" s="1"/>
  <c r="D291" i="2"/>
  <c r="A291" i="2"/>
  <c r="H290" i="2"/>
  <c r="I290" i="2" s="1"/>
  <c r="D290" i="2"/>
  <c r="A290" i="2"/>
  <c r="H289" i="2"/>
  <c r="I289" i="2" s="1"/>
  <c r="D289" i="2"/>
  <c r="A289" i="2"/>
  <c r="H288" i="2"/>
  <c r="I288" i="2" s="1"/>
  <c r="D288" i="2"/>
  <c r="A288" i="2"/>
  <c r="H287" i="2"/>
  <c r="I287" i="2" s="1"/>
  <c r="D287" i="2"/>
  <c r="A287" i="2"/>
  <c r="H286" i="2"/>
  <c r="I286" i="2" s="1"/>
  <c r="D286" i="2"/>
  <c r="A286" i="2"/>
  <c r="H285" i="2"/>
  <c r="I285" i="2" s="1"/>
  <c r="D285" i="2"/>
  <c r="A285" i="2"/>
  <c r="H284" i="2"/>
  <c r="I284" i="2" s="1"/>
  <c r="D284" i="2"/>
  <c r="A284" i="2"/>
  <c r="H283" i="2"/>
  <c r="I283" i="2" s="1"/>
  <c r="D283" i="2"/>
  <c r="A283" i="2"/>
  <c r="H282" i="2"/>
  <c r="I282" i="2" s="1"/>
  <c r="D282" i="2"/>
  <c r="A282" i="2"/>
  <c r="H281" i="2"/>
  <c r="I281" i="2" s="1"/>
  <c r="D281" i="2"/>
  <c r="A281" i="2"/>
  <c r="H280" i="2"/>
  <c r="I280" i="2" s="1"/>
  <c r="D280" i="2"/>
  <c r="A280" i="2"/>
  <c r="H279" i="2"/>
  <c r="I279" i="2" s="1"/>
  <c r="D279" i="2"/>
  <c r="A279" i="2"/>
  <c r="H278" i="2"/>
  <c r="I278" i="2" s="1"/>
  <c r="D278" i="2"/>
  <c r="A278" i="2"/>
  <c r="H277" i="2"/>
  <c r="I277" i="2" s="1"/>
  <c r="D277" i="2"/>
  <c r="A277" i="2"/>
  <c r="H276" i="2"/>
  <c r="I276" i="2" s="1"/>
  <c r="D276" i="2"/>
  <c r="A276" i="2"/>
  <c r="H275" i="2"/>
  <c r="I275" i="2" s="1"/>
  <c r="D275" i="2"/>
  <c r="A275" i="2"/>
  <c r="H274" i="2"/>
  <c r="I274" i="2" s="1"/>
  <c r="D274" i="2"/>
  <c r="A274" i="2"/>
  <c r="H273" i="2"/>
  <c r="I273" i="2" s="1"/>
  <c r="D273" i="2"/>
  <c r="A273" i="2"/>
  <c r="H272" i="2"/>
  <c r="I272" i="2" s="1"/>
  <c r="D272" i="2"/>
  <c r="A272" i="2"/>
  <c r="H271" i="2"/>
  <c r="I271" i="2" s="1"/>
  <c r="D271" i="2"/>
  <c r="A271" i="2"/>
  <c r="H270" i="2"/>
  <c r="I270" i="2" s="1"/>
  <c r="D270" i="2"/>
  <c r="A270" i="2"/>
  <c r="H269" i="2"/>
  <c r="I269" i="2" s="1"/>
  <c r="D269" i="2"/>
  <c r="A269" i="2"/>
  <c r="H268" i="2"/>
  <c r="I268" i="2" s="1"/>
  <c r="D268" i="2"/>
  <c r="A268" i="2"/>
  <c r="H267" i="2"/>
  <c r="I267" i="2" s="1"/>
  <c r="D267" i="2"/>
  <c r="A267" i="2"/>
  <c r="H266" i="2"/>
  <c r="I266" i="2" s="1"/>
  <c r="D266" i="2"/>
  <c r="A266" i="2"/>
  <c r="H265" i="2"/>
  <c r="I265" i="2" s="1"/>
  <c r="D265" i="2"/>
  <c r="A265" i="2"/>
  <c r="H264" i="2"/>
  <c r="I264" i="2" s="1"/>
  <c r="D264" i="2"/>
  <c r="A264" i="2"/>
  <c r="H263" i="2"/>
  <c r="I263" i="2" s="1"/>
  <c r="D263" i="2"/>
  <c r="A263" i="2"/>
  <c r="H262" i="2"/>
  <c r="I262" i="2" s="1"/>
  <c r="D262" i="2"/>
  <c r="A262" i="2"/>
  <c r="H261" i="2"/>
  <c r="I261" i="2" s="1"/>
  <c r="D261" i="2"/>
  <c r="A261" i="2"/>
  <c r="H260" i="2"/>
  <c r="I260" i="2" s="1"/>
  <c r="D260" i="2"/>
  <c r="A260" i="2"/>
  <c r="H259" i="2"/>
  <c r="I259" i="2" s="1"/>
  <c r="D259" i="2"/>
  <c r="A259" i="2"/>
  <c r="H258" i="2"/>
  <c r="I258" i="2" s="1"/>
  <c r="D258" i="2"/>
  <c r="A258" i="2"/>
  <c r="H257" i="2"/>
  <c r="I257" i="2" s="1"/>
  <c r="D257" i="2"/>
  <c r="A257" i="2"/>
  <c r="H256" i="2"/>
  <c r="I256" i="2" s="1"/>
  <c r="D256" i="2"/>
  <c r="A256" i="2"/>
  <c r="H255" i="2"/>
  <c r="I255" i="2" s="1"/>
  <c r="D255" i="2"/>
  <c r="A255" i="2"/>
  <c r="H254" i="2"/>
  <c r="I254" i="2" s="1"/>
  <c r="D254" i="2"/>
  <c r="A254" i="2"/>
  <c r="H253" i="2"/>
  <c r="I253" i="2" s="1"/>
  <c r="D253" i="2"/>
  <c r="A253" i="2"/>
  <c r="H252" i="2"/>
  <c r="I252" i="2" s="1"/>
  <c r="D252" i="2"/>
  <c r="A252" i="2"/>
  <c r="H251" i="2"/>
  <c r="I251" i="2" s="1"/>
  <c r="D251" i="2"/>
  <c r="A251" i="2"/>
  <c r="H250" i="2"/>
  <c r="I250" i="2" s="1"/>
  <c r="D250" i="2"/>
  <c r="A250" i="2"/>
  <c r="H249" i="2"/>
  <c r="I249" i="2" s="1"/>
  <c r="D249" i="2"/>
  <c r="A249" i="2"/>
  <c r="H248" i="2"/>
  <c r="I248" i="2" s="1"/>
  <c r="D248" i="2"/>
  <c r="A248" i="2"/>
  <c r="H247" i="2"/>
  <c r="I247" i="2" s="1"/>
  <c r="D247" i="2"/>
  <c r="A247" i="2"/>
  <c r="H246" i="2"/>
  <c r="I246" i="2" s="1"/>
  <c r="D246" i="2"/>
  <c r="A246" i="2"/>
  <c r="H245" i="2"/>
  <c r="I245" i="2" s="1"/>
  <c r="D245" i="2"/>
  <c r="A245" i="2"/>
  <c r="H244" i="2"/>
  <c r="I244" i="2" s="1"/>
  <c r="D244" i="2"/>
  <c r="A244" i="2"/>
  <c r="H243" i="2"/>
  <c r="I243" i="2" s="1"/>
  <c r="D243" i="2"/>
  <c r="A243" i="2"/>
  <c r="H242" i="2"/>
  <c r="I242" i="2" s="1"/>
  <c r="D242" i="2"/>
  <c r="A242" i="2"/>
  <c r="H241" i="2"/>
  <c r="I241" i="2" s="1"/>
  <c r="D241" i="2"/>
  <c r="A241" i="2"/>
  <c r="H240" i="2"/>
  <c r="I240" i="2" s="1"/>
  <c r="D240" i="2"/>
  <c r="A240" i="2"/>
  <c r="H239" i="2"/>
  <c r="I239" i="2" s="1"/>
  <c r="D239" i="2"/>
  <c r="A239" i="2"/>
  <c r="H238" i="2"/>
  <c r="I238" i="2" s="1"/>
  <c r="D238" i="2"/>
  <c r="A238" i="2"/>
  <c r="H237" i="2"/>
  <c r="I237" i="2" s="1"/>
  <c r="D237" i="2"/>
  <c r="A237" i="2"/>
  <c r="H236" i="2"/>
  <c r="I236" i="2" s="1"/>
  <c r="D236" i="2"/>
  <c r="A236" i="2"/>
  <c r="H235" i="2"/>
  <c r="I235" i="2" s="1"/>
  <c r="D235" i="2"/>
  <c r="A235" i="2"/>
  <c r="H234" i="2"/>
  <c r="I234" i="2" s="1"/>
  <c r="D234" i="2"/>
  <c r="A234" i="2"/>
  <c r="H233" i="2"/>
  <c r="I233" i="2" s="1"/>
  <c r="D233" i="2"/>
  <c r="A233" i="2"/>
  <c r="H232" i="2"/>
  <c r="I232" i="2" s="1"/>
  <c r="D232" i="2"/>
  <c r="A232" i="2"/>
  <c r="H231" i="2"/>
  <c r="I231" i="2" s="1"/>
  <c r="D231" i="2"/>
  <c r="A231" i="2"/>
  <c r="H230" i="2"/>
  <c r="I230" i="2" s="1"/>
  <c r="D230" i="2"/>
  <c r="A230" i="2"/>
  <c r="H229" i="2"/>
  <c r="I229" i="2" s="1"/>
  <c r="D229" i="2"/>
  <c r="A229" i="2"/>
  <c r="H228" i="2"/>
  <c r="I228" i="2" s="1"/>
  <c r="D228" i="2"/>
  <c r="A228" i="2"/>
  <c r="H227" i="2"/>
  <c r="I227" i="2" s="1"/>
  <c r="D227" i="2"/>
  <c r="A227" i="2"/>
  <c r="H226" i="2"/>
  <c r="I226" i="2" s="1"/>
  <c r="D226" i="2"/>
  <c r="A226" i="2"/>
  <c r="H225" i="2"/>
  <c r="I225" i="2" s="1"/>
  <c r="D225" i="2"/>
  <c r="A225" i="2"/>
  <c r="H224" i="2"/>
  <c r="I224" i="2" s="1"/>
  <c r="D224" i="2"/>
  <c r="A224" i="2"/>
  <c r="H223" i="2"/>
  <c r="I223" i="2" s="1"/>
  <c r="D223" i="2"/>
  <c r="A223" i="2"/>
  <c r="H222" i="2"/>
  <c r="I222" i="2" s="1"/>
  <c r="D222" i="2"/>
  <c r="A222" i="2"/>
  <c r="H221" i="2"/>
  <c r="I221" i="2" s="1"/>
  <c r="D221" i="2"/>
  <c r="A221" i="2"/>
  <c r="H220" i="2"/>
  <c r="I220" i="2" s="1"/>
  <c r="D220" i="2"/>
  <c r="A220" i="2"/>
  <c r="H219" i="2"/>
  <c r="I219" i="2" s="1"/>
  <c r="D219" i="2"/>
  <c r="A219" i="2"/>
  <c r="H218" i="2"/>
  <c r="I218" i="2" s="1"/>
  <c r="D218" i="2"/>
  <c r="A218" i="2"/>
  <c r="H217" i="2"/>
  <c r="I217" i="2" s="1"/>
  <c r="D217" i="2"/>
  <c r="A217" i="2"/>
  <c r="H216" i="2"/>
  <c r="I216" i="2" s="1"/>
  <c r="D216" i="2"/>
  <c r="A216" i="2"/>
  <c r="H215" i="2"/>
  <c r="I215" i="2" s="1"/>
  <c r="D215" i="2"/>
  <c r="A215" i="2"/>
  <c r="H214" i="2"/>
  <c r="I214" i="2" s="1"/>
  <c r="D214" i="2"/>
  <c r="A214" i="2"/>
  <c r="H213" i="2"/>
  <c r="I213" i="2" s="1"/>
  <c r="D213" i="2"/>
  <c r="A213" i="2"/>
  <c r="H212" i="2"/>
  <c r="I212" i="2" s="1"/>
  <c r="D212" i="2"/>
  <c r="A212" i="2"/>
  <c r="H211" i="2"/>
  <c r="I211" i="2" s="1"/>
  <c r="D211" i="2"/>
  <c r="A211" i="2"/>
  <c r="H210" i="2"/>
  <c r="I210" i="2" s="1"/>
  <c r="D210" i="2"/>
  <c r="A210" i="2"/>
  <c r="H209" i="2"/>
  <c r="I209" i="2" s="1"/>
  <c r="D209" i="2"/>
  <c r="A209" i="2"/>
  <c r="H208" i="2"/>
  <c r="I208" i="2" s="1"/>
  <c r="D208" i="2"/>
  <c r="A208" i="2"/>
  <c r="H207" i="2"/>
  <c r="I207" i="2" s="1"/>
  <c r="D207" i="2"/>
  <c r="A207" i="2"/>
  <c r="H206" i="2"/>
  <c r="I206" i="2" s="1"/>
  <c r="D206" i="2"/>
  <c r="A206" i="2"/>
  <c r="H205" i="2"/>
  <c r="I205" i="2" s="1"/>
  <c r="D205" i="2"/>
  <c r="A205" i="2"/>
  <c r="H204" i="2"/>
  <c r="I204" i="2" s="1"/>
  <c r="D204" i="2"/>
  <c r="A204" i="2"/>
  <c r="H203" i="2"/>
  <c r="I203" i="2" s="1"/>
  <c r="D203" i="2"/>
  <c r="A203" i="2"/>
  <c r="H202" i="2"/>
  <c r="I202" i="2" s="1"/>
  <c r="D202" i="2"/>
  <c r="A202" i="2"/>
  <c r="H201" i="2"/>
  <c r="I201" i="2" s="1"/>
  <c r="D201" i="2"/>
  <c r="A201" i="2"/>
  <c r="H200" i="2"/>
  <c r="I200" i="2" s="1"/>
  <c r="D200" i="2"/>
  <c r="A200" i="2"/>
  <c r="H199" i="2"/>
  <c r="I199" i="2" s="1"/>
  <c r="D199" i="2"/>
  <c r="A199" i="2"/>
  <c r="H198" i="2"/>
  <c r="I198" i="2" s="1"/>
  <c r="D198" i="2"/>
  <c r="A198" i="2"/>
  <c r="H197" i="2"/>
  <c r="I197" i="2" s="1"/>
  <c r="D197" i="2"/>
  <c r="A197" i="2"/>
  <c r="H196" i="2"/>
  <c r="I196" i="2" s="1"/>
  <c r="D196" i="2"/>
  <c r="A196" i="2"/>
  <c r="H195" i="2"/>
  <c r="I195" i="2" s="1"/>
  <c r="D195" i="2"/>
  <c r="A195" i="2"/>
  <c r="H194" i="2"/>
  <c r="I194" i="2" s="1"/>
  <c r="D194" i="2"/>
  <c r="A194" i="2"/>
  <c r="H193" i="2"/>
  <c r="I193" i="2" s="1"/>
  <c r="D193" i="2"/>
  <c r="A193" i="2"/>
  <c r="H192" i="2"/>
  <c r="I192" i="2" s="1"/>
  <c r="D192" i="2"/>
  <c r="A192" i="2"/>
  <c r="H191" i="2"/>
  <c r="I191" i="2" s="1"/>
  <c r="D191" i="2"/>
  <c r="A191" i="2"/>
  <c r="H190" i="2"/>
  <c r="I190" i="2" s="1"/>
  <c r="D190" i="2"/>
  <c r="A190" i="2"/>
  <c r="H189" i="2"/>
  <c r="I189" i="2" s="1"/>
  <c r="D189" i="2"/>
  <c r="A189" i="2"/>
  <c r="H188" i="2"/>
  <c r="I188" i="2" s="1"/>
  <c r="D188" i="2"/>
  <c r="A188" i="2"/>
  <c r="H187" i="2"/>
  <c r="I187" i="2" s="1"/>
  <c r="D187" i="2"/>
  <c r="A187" i="2"/>
  <c r="H186" i="2"/>
  <c r="I186" i="2" s="1"/>
  <c r="D186" i="2"/>
  <c r="A186" i="2"/>
  <c r="H185" i="2"/>
  <c r="I185" i="2" s="1"/>
  <c r="D185" i="2"/>
  <c r="A185" i="2"/>
  <c r="H184" i="2"/>
  <c r="I184" i="2" s="1"/>
  <c r="D184" i="2"/>
  <c r="A184" i="2"/>
  <c r="H183" i="2"/>
  <c r="I183" i="2" s="1"/>
  <c r="D183" i="2"/>
  <c r="A183" i="2"/>
  <c r="H182" i="2"/>
  <c r="I182" i="2" s="1"/>
  <c r="D182" i="2"/>
  <c r="A182" i="2"/>
  <c r="H181" i="2"/>
  <c r="I181" i="2" s="1"/>
  <c r="D181" i="2"/>
  <c r="A181" i="2"/>
  <c r="H180" i="2"/>
  <c r="I180" i="2" s="1"/>
  <c r="D180" i="2"/>
  <c r="A180" i="2"/>
  <c r="H179" i="2"/>
  <c r="I179" i="2" s="1"/>
  <c r="D179" i="2"/>
  <c r="A179" i="2"/>
  <c r="H178" i="2"/>
  <c r="I178" i="2" s="1"/>
  <c r="D178" i="2"/>
  <c r="A178" i="2"/>
  <c r="H177" i="2"/>
  <c r="I177" i="2" s="1"/>
  <c r="D177" i="2"/>
  <c r="A177" i="2"/>
  <c r="H176" i="2"/>
  <c r="I176" i="2" s="1"/>
  <c r="D176" i="2"/>
  <c r="A176" i="2"/>
  <c r="H175" i="2"/>
  <c r="I175" i="2" s="1"/>
  <c r="D175" i="2"/>
  <c r="A175" i="2"/>
  <c r="H174" i="2"/>
  <c r="I174" i="2" s="1"/>
  <c r="D174" i="2"/>
  <c r="A174" i="2"/>
  <c r="H173" i="2"/>
  <c r="I173" i="2" s="1"/>
  <c r="D173" i="2"/>
  <c r="A173" i="2"/>
  <c r="H172" i="2"/>
  <c r="I172" i="2" s="1"/>
  <c r="D172" i="2"/>
  <c r="A172" i="2"/>
  <c r="H171" i="2"/>
  <c r="I171" i="2" s="1"/>
  <c r="D171" i="2"/>
  <c r="A171" i="2"/>
  <c r="H170" i="2"/>
  <c r="I170" i="2" s="1"/>
  <c r="D170" i="2"/>
  <c r="A170" i="2"/>
  <c r="H169" i="2"/>
  <c r="I169" i="2" s="1"/>
  <c r="D169" i="2"/>
  <c r="A169" i="2"/>
  <c r="H168" i="2"/>
  <c r="I168" i="2" s="1"/>
  <c r="D168" i="2"/>
  <c r="A168" i="2"/>
  <c r="H167" i="2"/>
  <c r="I167" i="2" s="1"/>
  <c r="D167" i="2"/>
  <c r="A167" i="2"/>
  <c r="H166" i="2"/>
  <c r="I166" i="2" s="1"/>
  <c r="D166" i="2"/>
  <c r="A166" i="2"/>
  <c r="H165" i="2"/>
  <c r="I165" i="2" s="1"/>
  <c r="D165" i="2"/>
  <c r="A165" i="2"/>
  <c r="H164" i="2"/>
  <c r="I164" i="2" s="1"/>
  <c r="D164" i="2"/>
  <c r="A164" i="2"/>
  <c r="H163" i="2"/>
  <c r="I163" i="2" s="1"/>
  <c r="D163" i="2"/>
  <c r="A163" i="2"/>
  <c r="H162" i="2"/>
  <c r="I162" i="2" s="1"/>
  <c r="D162" i="2"/>
  <c r="A162" i="2"/>
  <c r="H161" i="2"/>
  <c r="I161" i="2" s="1"/>
  <c r="D161" i="2"/>
  <c r="A161" i="2"/>
  <c r="H160" i="2"/>
  <c r="I160" i="2" s="1"/>
  <c r="D160" i="2"/>
  <c r="A160" i="2"/>
  <c r="H159" i="2"/>
  <c r="I159" i="2" s="1"/>
  <c r="D159" i="2"/>
  <c r="A159" i="2"/>
  <c r="H158" i="2"/>
  <c r="I158" i="2" s="1"/>
  <c r="D158" i="2"/>
  <c r="A158" i="2"/>
  <c r="H157" i="2"/>
  <c r="I157" i="2" s="1"/>
  <c r="D157" i="2"/>
  <c r="A157" i="2"/>
  <c r="H156" i="2"/>
  <c r="I156" i="2" s="1"/>
  <c r="D156" i="2"/>
  <c r="A156" i="2"/>
  <c r="H155" i="2"/>
  <c r="I155" i="2" s="1"/>
  <c r="D155" i="2"/>
  <c r="A155" i="2"/>
  <c r="H154" i="2"/>
  <c r="I154" i="2" s="1"/>
  <c r="D154" i="2"/>
  <c r="A154" i="2"/>
  <c r="H153" i="2"/>
  <c r="I153" i="2" s="1"/>
  <c r="D153" i="2"/>
  <c r="A153" i="2"/>
  <c r="H152" i="2"/>
  <c r="I152" i="2" s="1"/>
  <c r="D152" i="2"/>
  <c r="A152" i="2"/>
  <c r="H151" i="2"/>
  <c r="I151" i="2" s="1"/>
  <c r="D151" i="2"/>
  <c r="A151" i="2"/>
  <c r="H150" i="2"/>
  <c r="I150" i="2" s="1"/>
  <c r="D150" i="2"/>
  <c r="A150" i="2"/>
  <c r="H149" i="2"/>
  <c r="I149" i="2" s="1"/>
  <c r="D149" i="2"/>
  <c r="A149" i="2"/>
  <c r="H148" i="2"/>
  <c r="I148" i="2" s="1"/>
  <c r="D148" i="2"/>
  <c r="A148" i="2"/>
  <c r="H147" i="2"/>
  <c r="I147" i="2" s="1"/>
  <c r="D147" i="2"/>
  <c r="A147" i="2"/>
  <c r="H146" i="2"/>
  <c r="I146" i="2" s="1"/>
  <c r="D146" i="2"/>
  <c r="A146" i="2"/>
  <c r="H145" i="2"/>
  <c r="I145" i="2" s="1"/>
  <c r="D145" i="2"/>
  <c r="A145" i="2"/>
  <c r="H144" i="2"/>
  <c r="I144" i="2" s="1"/>
  <c r="D144" i="2"/>
  <c r="A144" i="2"/>
  <c r="H143" i="2"/>
  <c r="I143" i="2" s="1"/>
  <c r="D143" i="2"/>
  <c r="A143" i="2"/>
  <c r="H142" i="2"/>
  <c r="I142" i="2" s="1"/>
  <c r="D142" i="2"/>
  <c r="A142" i="2"/>
  <c r="H141" i="2"/>
  <c r="I141" i="2" s="1"/>
  <c r="D141" i="2"/>
  <c r="A141" i="2"/>
  <c r="H140" i="2"/>
  <c r="I140" i="2" s="1"/>
  <c r="D140" i="2"/>
  <c r="A140" i="2"/>
  <c r="H139" i="2"/>
  <c r="I139" i="2" s="1"/>
  <c r="D139" i="2"/>
  <c r="A139" i="2"/>
  <c r="H138" i="2"/>
  <c r="I138" i="2" s="1"/>
  <c r="D138" i="2"/>
  <c r="A138" i="2"/>
  <c r="H137" i="2"/>
  <c r="I137" i="2" s="1"/>
  <c r="D137" i="2"/>
  <c r="A137" i="2"/>
  <c r="H136" i="2"/>
  <c r="I136" i="2" s="1"/>
  <c r="D136" i="2"/>
  <c r="A136" i="2"/>
  <c r="H135" i="2"/>
  <c r="I135" i="2" s="1"/>
  <c r="D135" i="2"/>
  <c r="A135" i="2"/>
  <c r="H134" i="2"/>
  <c r="I134" i="2" s="1"/>
  <c r="D134" i="2"/>
  <c r="A134" i="2"/>
  <c r="H133" i="2"/>
  <c r="I133" i="2" s="1"/>
  <c r="D133" i="2"/>
  <c r="A133" i="2"/>
  <c r="H132" i="2"/>
  <c r="I132" i="2" s="1"/>
  <c r="D132" i="2"/>
  <c r="A132" i="2"/>
  <c r="H131" i="2"/>
  <c r="I131" i="2" s="1"/>
  <c r="D131" i="2"/>
  <c r="A131" i="2"/>
  <c r="H130" i="2"/>
  <c r="I130" i="2" s="1"/>
  <c r="D130" i="2"/>
  <c r="A130" i="2"/>
  <c r="H129" i="2"/>
  <c r="I129" i="2" s="1"/>
  <c r="D129" i="2"/>
  <c r="A129" i="2"/>
  <c r="H128" i="2"/>
  <c r="I128" i="2" s="1"/>
  <c r="D128" i="2"/>
  <c r="A128" i="2"/>
  <c r="H127" i="2"/>
  <c r="I127" i="2" s="1"/>
  <c r="D127" i="2"/>
  <c r="A127" i="2"/>
  <c r="H126" i="2"/>
  <c r="I126" i="2" s="1"/>
  <c r="D126" i="2"/>
  <c r="A126" i="2"/>
  <c r="H125" i="2"/>
  <c r="I125" i="2" s="1"/>
  <c r="D125" i="2"/>
  <c r="A125" i="2"/>
  <c r="H124" i="2"/>
  <c r="I124" i="2" s="1"/>
  <c r="D124" i="2"/>
  <c r="A124" i="2"/>
  <c r="H123" i="2"/>
  <c r="I123" i="2" s="1"/>
  <c r="D123" i="2"/>
  <c r="A123" i="2"/>
  <c r="H122" i="2"/>
  <c r="I122" i="2" s="1"/>
  <c r="D122" i="2"/>
  <c r="A122" i="2"/>
  <c r="H121" i="2"/>
  <c r="I121" i="2" s="1"/>
  <c r="D121" i="2"/>
  <c r="A121" i="2"/>
  <c r="H120" i="2"/>
  <c r="I120" i="2" s="1"/>
  <c r="D120" i="2"/>
  <c r="A120" i="2"/>
  <c r="H119" i="2"/>
  <c r="I119" i="2" s="1"/>
  <c r="D119" i="2"/>
  <c r="A119" i="2"/>
  <c r="H118" i="2"/>
  <c r="I118" i="2" s="1"/>
  <c r="D118" i="2"/>
  <c r="A118" i="2"/>
  <c r="H117" i="2"/>
  <c r="I117" i="2" s="1"/>
  <c r="D117" i="2"/>
  <c r="A117" i="2"/>
  <c r="H116" i="2"/>
  <c r="I116" i="2" s="1"/>
  <c r="D116" i="2"/>
  <c r="A116" i="2"/>
  <c r="H115" i="2"/>
  <c r="I115" i="2" s="1"/>
  <c r="D115" i="2"/>
  <c r="A115" i="2"/>
  <c r="H114" i="2"/>
  <c r="I114" i="2" s="1"/>
  <c r="D114" i="2"/>
  <c r="A114" i="2"/>
  <c r="H113" i="2"/>
  <c r="I113" i="2" s="1"/>
  <c r="D113" i="2"/>
  <c r="A113" i="2"/>
  <c r="H112" i="2"/>
  <c r="I112" i="2" s="1"/>
  <c r="D112" i="2"/>
  <c r="A112" i="2"/>
  <c r="H111" i="2"/>
  <c r="I111" i="2" s="1"/>
  <c r="D111" i="2"/>
  <c r="A111" i="2"/>
  <c r="H110" i="2"/>
  <c r="I110" i="2" s="1"/>
  <c r="D110" i="2"/>
  <c r="A110" i="2"/>
  <c r="H109" i="2"/>
  <c r="I109" i="2" s="1"/>
  <c r="D109" i="2"/>
  <c r="A109" i="2"/>
  <c r="H108" i="2"/>
  <c r="I108" i="2" s="1"/>
  <c r="D108" i="2"/>
  <c r="A108" i="2"/>
  <c r="H107" i="2"/>
  <c r="I107" i="2" s="1"/>
  <c r="D107" i="2"/>
  <c r="A107" i="2"/>
  <c r="H106" i="2"/>
  <c r="I106" i="2" s="1"/>
  <c r="D106" i="2"/>
  <c r="A106" i="2"/>
  <c r="H105" i="2"/>
  <c r="I105" i="2" s="1"/>
  <c r="D105" i="2"/>
  <c r="A105" i="2"/>
  <c r="H104" i="2"/>
  <c r="I104" i="2" s="1"/>
  <c r="D104" i="2"/>
  <c r="A104" i="2"/>
  <c r="H103" i="2"/>
  <c r="I103" i="2" s="1"/>
  <c r="D103" i="2"/>
  <c r="A103" i="2"/>
  <c r="H102" i="2"/>
  <c r="I102" i="2" s="1"/>
  <c r="D102" i="2"/>
  <c r="A102" i="2"/>
  <c r="H101" i="2"/>
  <c r="I101" i="2" s="1"/>
  <c r="D101" i="2"/>
  <c r="A101" i="2"/>
  <c r="H100" i="2"/>
  <c r="I100" i="2" s="1"/>
  <c r="D100" i="2"/>
  <c r="A100" i="2"/>
  <c r="H99" i="2"/>
  <c r="I99" i="2" s="1"/>
  <c r="D99" i="2"/>
  <c r="A99" i="2"/>
  <c r="H98" i="2"/>
  <c r="I98" i="2" s="1"/>
  <c r="D98" i="2"/>
  <c r="A98" i="2"/>
  <c r="H97" i="2"/>
  <c r="I97" i="2" s="1"/>
  <c r="D97" i="2"/>
  <c r="A97" i="2"/>
  <c r="H96" i="2"/>
  <c r="I96" i="2" s="1"/>
  <c r="D96" i="2"/>
  <c r="A96" i="2"/>
  <c r="H95" i="2"/>
  <c r="I95" i="2" s="1"/>
  <c r="D95" i="2"/>
  <c r="A95" i="2"/>
  <c r="H94" i="2"/>
  <c r="I94" i="2" s="1"/>
  <c r="D94" i="2"/>
  <c r="A94" i="2"/>
  <c r="H93" i="2"/>
  <c r="I93" i="2" s="1"/>
  <c r="D93" i="2"/>
  <c r="A93" i="2"/>
  <c r="H92" i="2"/>
  <c r="I92" i="2" s="1"/>
  <c r="D92" i="2"/>
  <c r="A92" i="2"/>
  <c r="H91" i="2"/>
  <c r="I91" i="2" s="1"/>
  <c r="D91" i="2"/>
  <c r="A91" i="2"/>
  <c r="H90" i="2"/>
  <c r="I90" i="2" s="1"/>
  <c r="D90" i="2"/>
  <c r="A90" i="2"/>
  <c r="H89" i="2"/>
  <c r="I89" i="2" s="1"/>
  <c r="D89" i="2"/>
  <c r="A89" i="2"/>
  <c r="H88" i="2"/>
  <c r="I88" i="2" s="1"/>
  <c r="D88" i="2"/>
  <c r="A88" i="2"/>
  <c r="H87" i="2"/>
  <c r="I87" i="2" s="1"/>
  <c r="D87" i="2"/>
  <c r="A87" i="2"/>
  <c r="H86" i="2"/>
  <c r="I86" i="2" s="1"/>
  <c r="D86" i="2"/>
  <c r="A86" i="2"/>
  <c r="H85" i="2"/>
  <c r="I85" i="2" s="1"/>
  <c r="D85" i="2"/>
  <c r="A85" i="2"/>
  <c r="H84" i="2"/>
  <c r="I84" i="2" s="1"/>
  <c r="D84" i="2"/>
  <c r="A84" i="2"/>
  <c r="H83" i="2"/>
  <c r="I83" i="2" s="1"/>
  <c r="D83" i="2"/>
  <c r="A83" i="2"/>
  <c r="H82" i="2"/>
  <c r="I82" i="2" s="1"/>
  <c r="D82" i="2"/>
  <c r="A82" i="2"/>
  <c r="H81" i="2"/>
  <c r="I81" i="2" s="1"/>
  <c r="D81" i="2"/>
  <c r="A81" i="2"/>
  <c r="H80" i="2"/>
  <c r="I80" i="2" s="1"/>
  <c r="D80" i="2"/>
  <c r="A80" i="2"/>
  <c r="H79" i="2"/>
  <c r="I79" i="2" s="1"/>
  <c r="D79" i="2"/>
  <c r="A79" i="2"/>
  <c r="H78" i="2"/>
  <c r="I78" i="2" s="1"/>
  <c r="D78" i="2"/>
  <c r="A78" i="2"/>
  <c r="H77" i="2"/>
  <c r="I77" i="2" s="1"/>
  <c r="D77" i="2"/>
  <c r="A77" i="2"/>
  <c r="H76" i="2"/>
  <c r="I76" i="2" s="1"/>
  <c r="D76" i="2"/>
  <c r="A76" i="2"/>
  <c r="H75" i="2"/>
  <c r="I75" i="2" s="1"/>
  <c r="D75" i="2"/>
  <c r="A75" i="2"/>
  <c r="H74" i="2"/>
  <c r="I74" i="2" s="1"/>
  <c r="D74" i="2"/>
  <c r="A74" i="2"/>
  <c r="H73" i="2"/>
  <c r="I73" i="2" s="1"/>
  <c r="D73" i="2"/>
  <c r="A73" i="2"/>
  <c r="H72" i="2"/>
  <c r="I72" i="2" s="1"/>
  <c r="D72" i="2"/>
  <c r="A72" i="2"/>
  <c r="H71" i="2"/>
  <c r="I71" i="2" s="1"/>
  <c r="D71" i="2"/>
  <c r="A71" i="2"/>
  <c r="H70" i="2"/>
  <c r="I70" i="2" s="1"/>
  <c r="D70" i="2"/>
  <c r="A70" i="2"/>
  <c r="H69" i="2"/>
  <c r="I69" i="2" s="1"/>
  <c r="D69" i="2"/>
  <c r="A69" i="2"/>
  <c r="H68" i="2"/>
  <c r="I68" i="2" s="1"/>
  <c r="D68" i="2"/>
  <c r="A68" i="2"/>
  <c r="H67" i="2"/>
  <c r="I67" i="2" s="1"/>
  <c r="D67" i="2"/>
  <c r="A67" i="2"/>
  <c r="H66" i="2"/>
  <c r="I66" i="2" s="1"/>
  <c r="D66" i="2"/>
  <c r="A66" i="2"/>
  <c r="H65" i="2"/>
  <c r="I65" i="2" s="1"/>
  <c r="D65" i="2"/>
  <c r="A65" i="2"/>
  <c r="H64" i="2"/>
  <c r="I64" i="2" s="1"/>
  <c r="D64" i="2"/>
  <c r="A64" i="2"/>
  <c r="H63" i="2"/>
  <c r="I63" i="2" s="1"/>
  <c r="D63" i="2"/>
  <c r="A63" i="2"/>
  <c r="H62" i="2"/>
  <c r="I62" i="2" s="1"/>
  <c r="D62" i="2"/>
  <c r="A62" i="2"/>
  <c r="H61" i="2"/>
  <c r="I61" i="2" s="1"/>
  <c r="D61" i="2"/>
  <c r="A61" i="2"/>
  <c r="H60" i="2"/>
  <c r="I60" i="2" s="1"/>
  <c r="D60" i="2"/>
  <c r="A60" i="2"/>
  <c r="H59" i="2"/>
  <c r="I59" i="2" s="1"/>
  <c r="D59" i="2"/>
  <c r="A59" i="2"/>
  <c r="H58" i="2"/>
  <c r="I58" i="2" s="1"/>
  <c r="D58" i="2"/>
  <c r="A58" i="2"/>
  <c r="H57" i="2"/>
  <c r="I57" i="2" s="1"/>
  <c r="D57" i="2"/>
  <c r="A57" i="2"/>
  <c r="H56" i="2"/>
  <c r="I56" i="2" s="1"/>
  <c r="D56" i="2"/>
  <c r="A56" i="2"/>
  <c r="H55" i="2"/>
  <c r="I55" i="2" s="1"/>
  <c r="D55" i="2"/>
  <c r="A55" i="2"/>
  <c r="H54" i="2"/>
  <c r="I54" i="2" s="1"/>
  <c r="D54" i="2"/>
  <c r="A54" i="2"/>
  <c r="H53" i="2"/>
  <c r="I53" i="2" s="1"/>
  <c r="D53" i="2"/>
  <c r="A53" i="2"/>
  <c r="H52" i="2"/>
  <c r="I52" i="2" s="1"/>
  <c r="D52" i="2"/>
  <c r="A52" i="2"/>
  <c r="H51" i="2"/>
  <c r="I51" i="2" s="1"/>
  <c r="D51" i="2"/>
  <c r="A51" i="2"/>
  <c r="H50" i="2"/>
  <c r="I50" i="2" s="1"/>
  <c r="D50" i="2"/>
  <c r="A50" i="2"/>
  <c r="H49" i="2"/>
  <c r="I49" i="2" s="1"/>
  <c r="D49" i="2"/>
  <c r="A49" i="2"/>
  <c r="H48" i="2"/>
  <c r="I48" i="2" s="1"/>
  <c r="D48" i="2"/>
  <c r="A48" i="2"/>
  <c r="H47" i="2"/>
  <c r="I47" i="2" s="1"/>
  <c r="D47" i="2"/>
  <c r="A47" i="2"/>
  <c r="H46" i="2"/>
  <c r="I46" i="2" s="1"/>
  <c r="D46" i="2"/>
  <c r="A46" i="2"/>
  <c r="H45" i="2"/>
  <c r="I45" i="2" s="1"/>
  <c r="D45" i="2"/>
  <c r="A45" i="2"/>
  <c r="H44" i="2"/>
  <c r="I44" i="2" s="1"/>
  <c r="D44" i="2"/>
  <c r="A44" i="2"/>
  <c r="H43" i="2"/>
  <c r="I43" i="2" s="1"/>
  <c r="D43" i="2"/>
  <c r="A43" i="2"/>
  <c r="H42" i="2"/>
  <c r="I42" i="2" s="1"/>
  <c r="D42" i="2"/>
  <c r="A42" i="2"/>
  <c r="H41" i="2"/>
  <c r="I41" i="2" s="1"/>
  <c r="D41" i="2"/>
  <c r="A41" i="2"/>
  <c r="H40" i="2"/>
  <c r="I40" i="2" s="1"/>
  <c r="D40" i="2"/>
  <c r="A40" i="2"/>
  <c r="H39" i="2"/>
  <c r="I39" i="2" s="1"/>
  <c r="D39" i="2"/>
  <c r="A39" i="2"/>
  <c r="H38" i="2"/>
  <c r="I38" i="2" s="1"/>
  <c r="D38" i="2"/>
  <c r="A38" i="2"/>
  <c r="H37" i="2"/>
  <c r="I37" i="2" s="1"/>
  <c r="D37" i="2"/>
  <c r="A37" i="2"/>
  <c r="H36" i="2"/>
  <c r="I36" i="2" s="1"/>
  <c r="D36" i="2"/>
  <c r="A36" i="2"/>
  <c r="H35" i="2"/>
  <c r="I35" i="2" s="1"/>
  <c r="D35" i="2"/>
  <c r="A35" i="2"/>
  <c r="H34" i="2"/>
  <c r="I34" i="2" s="1"/>
  <c r="D34" i="2"/>
  <c r="A34" i="2"/>
  <c r="H33" i="2"/>
  <c r="I33" i="2" s="1"/>
  <c r="D33" i="2"/>
  <c r="A33" i="2"/>
  <c r="H32" i="2"/>
  <c r="I32" i="2" s="1"/>
  <c r="D32" i="2"/>
  <c r="A32" i="2"/>
  <c r="H31" i="2"/>
  <c r="I31" i="2" s="1"/>
  <c r="D31" i="2"/>
  <c r="A31" i="2"/>
  <c r="H30" i="2"/>
  <c r="I30" i="2" s="1"/>
  <c r="D30" i="2"/>
  <c r="A30" i="2"/>
  <c r="H29" i="2"/>
  <c r="I29" i="2" s="1"/>
  <c r="D29" i="2"/>
  <c r="A29" i="2"/>
  <c r="H28" i="2"/>
  <c r="I28" i="2" s="1"/>
  <c r="D28" i="2"/>
  <c r="A28" i="2"/>
  <c r="H27" i="2"/>
  <c r="I27" i="2" s="1"/>
  <c r="D27" i="2"/>
  <c r="A27" i="2"/>
  <c r="H26" i="2"/>
  <c r="I26" i="2" s="1"/>
  <c r="D26" i="2"/>
  <c r="A26" i="2"/>
  <c r="H25" i="2"/>
  <c r="I25" i="2" s="1"/>
  <c r="D25" i="2"/>
  <c r="A25" i="2"/>
  <c r="H24" i="2"/>
  <c r="I24" i="2" s="1"/>
  <c r="D24" i="2"/>
  <c r="A24" i="2"/>
  <c r="H23" i="2"/>
  <c r="I23" i="2" s="1"/>
  <c r="D23" i="2"/>
  <c r="A23" i="2"/>
  <c r="H22" i="2"/>
  <c r="I22" i="2" s="1"/>
  <c r="D22" i="2"/>
  <c r="A22" i="2"/>
  <c r="H21" i="2"/>
  <c r="I21" i="2" s="1"/>
  <c r="D21" i="2"/>
  <c r="A21" i="2"/>
  <c r="H20" i="2"/>
  <c r="I20" i="2" s="1"/>
  <c r="D20" i="2"/>
  <c r="A20" i="2"/>
  <c r="H19" i="2"/>
  <c r="I19" i="2" s="1"/>
  <c r="D19" i="2"/>
  <c r="A19" i="2"/>
  <c r="H18" i="2"/>
  <c r="I18" i="2" s="1"/>
  <c r="D18" i="2"/>
  <c r="A18" i="2"/>
  <c r="H17" i="2"/>
  <c r="I17" i="2" s="1"/>
  <c r="D17" i="2"/>
  <c r="A17" i="2"/>
  <c r="H16" i="2"/>
  <c r="I16" i="2" s="1"/>
  <c r="D16" i="2"/>
  <c r="A16" i="2"/>
  <c r="H15" i="2"/>
  <c r="I15" i="2" s="1"/>
  <c r="D15" i="2"/>
  <c r="A15" i="2"/>
  <c r="H14" i="2"/>
  <c r="I14" i="2" s="1"/>
  <c r="D14" i="2"/>
  <c r="A14" i="2"/>
  <c r="H13" i="2"/>
  <c r="I13" i="2" s="1"/>
  <c r="D13" i="2"/>
  <c r="A13" i="2"/>
  <c r="H12" i="2"/>
  <c r="I12" i="2" s="1"/>
  <c r="D12" i="2"/>
  <c r="A12" i="2"/>
  <c r="H11" i="2"/>
  <c r="I11" i="2" s="1"/>
  <c r="D11" i="2"/>
  <c r="A11" i="2"/>
  <c r="H10" i="2"/>
  <c r="I10" i="2" s="1"/>
  <c r="D10" i="2"/>
  <c r="A10" i="2"/>
  <c r="H9" i="2"/>
  <c r="I9" i="2" s="1"/>
  <c r="D9" i="2"/>
  <c r="A9" i="2"/>
  <c r="D8" i="2"/>
  <c r="A8" i="2"/>
  <c r="H7" i="2"/>
  <c r="I7" i="2" s="1"/>
  <c r="D7" i="2"/>
  <c r="A7" i="2"/>
  <c r="D6" i="2"/>
  <c r="A6" i="2"/>
  <c r="D5" i="2"/>
  <c r="A5" i="2"/>
  <c r="D4" i="2"/>
  <c r="A4" i="2"/>
  <c r="N503" i="1"/>
  <c r="A503" i="1"/>
  <c r="N502" i="1"/>
  <c r="A502" i="1"/>
  <c r="N501" i="1"/>
  <c r="A501" i="1"/>
  <c r="N500" i="1"/>
  <c r="A500" i="1"/>
  <c r="N499" i="1"/>
  <c r="A499" i="1"/>
  <c r="N498" i="1"/>
  <c r="A498" i="1"/>
  <c r="N497" i="1"/>
  <c r="A497" i="1"/>
  <c r="N496" i="1"/>
  <c r="A496" i="1"/>
  <c r="A495" i="1"/>
  <c r="A494" i="1"/>
  <c r="A493" i="1"/>
  <c r="A492" i="1"/>
  <c r="N491" i="1"/>
  <c r="A491" i="1"/>
  <c r="A490" i="1"/>
  <c r="N489" i="1"/>
  <c r="A489" i="1"/>
  <c r="N488" i="1"/>
  <c r="A488" i="1"/>
  <c r="N487" i="1"/>
  <c r="A487" i="1"/>
  <c r="N486" i="1"/>
  <c r="A486" i="1"/>
  <c r="N485" i="1"/>
  <c r="A485" i="1"/>
  <c r="N484" i="1"/>
  <c r="A484" i="1"/>
  <c r="N483" i="1"/>
  <c r="A483" i="1"/>
  <c r="N482" i="1"/>
  <c r="A482" i="1"/>
  <c r="A481" i="1"/>
  <c r="A480" i="1"/>
  <c r="A479" i="1"/>
  <c r="A478" i="1"/>
  <c r="N477" i="1"/>
  <c r="A477" i="1"/>
  <c r="N476" i="1"/>
  <c r="A476" i="1"/>
  <c r="N475" i="1"/>
  <c r="A475" i="1"/>
  <c r="N474" i="1"/>
  <c r="A474" i="1"/>
  <c r="N473" i="1"/>
  <c r="A473" i="1"/>
  <c r="N472" i="1"/>
  <c r="A472" i="1"/>
  <c r="N471" i="1"/>
  <c r="A471" i="1"/>
  <c r="N470" i="1"/>
  <c r="A470" i="1"/>
  <c r="N469" i="1"/>
  <c r="A469" i="1"/>
  <c r="N468" i="1"/>
  <c r="A468" i="1"/>
  <c r="A467" i="1"/>
  <c r="A466" i="1"/>
  <c r="A465" i="1"/>
  <c r="A464" i="1"/>
  <c r="N463" i="1"/>
  <c r="A463" i="1"/>
  <c r="N462" i="1"/>
  <c r="A462" i="1"/>
  <c r="N461" i="1"/>
  <c r="A461" i="1"/>
  <c r="N460" i="1"/>
  <c r="A460" i="1"/>
  <c r="A459" i="1"/>
  <c r="N458" i="1"/>
  <c r="A458" i="1"/>
  <c r="N457" i="1"/>
  <c r="A457" i="1"/>
  <c r="N456" i="1"/>
  <c r="A456" i="1"/>
  <c r="N455" i="1"/>
  <c r="A455" i="1"/>
  <c r="N454" i="1"/>
  <c r="A454" i="1"/>
  <c r="A453" i="1"/>
  <c r="A452" i="1"/>
  <c r="A451" i="1"/>
  <c r="A450" i="1"/>
  <c r="N449" i="1"/>
  <c r="A449" i="1"/>
  <c r="A448" i="1"/>
  <c r="N447" i="1"/>
  <c r="A447" i="1"/>
  <c r="N446" i="1"/>
  <c r="A446" i="1"/>
  <c r="N445" i="1"/>
  <c r="A445" i="1"/>
  <c r="N444" i="1"/>
  <c r="A444" i="1"/>
  <c r="N443" i="1"/>
  <c r="A443" i="1"/>
  <c r="N442" i="1"/>
  <c r="A442" i="1"/>
  <c r="N441" i="1"/>
  <c r="A441" i="1"/>
  <c r="N440" i="1"/>
  <c r="A440" i="1"/>
  <c r="A439" i="1"/>
  <c r="A438" i="1"/>
  <c r="A437" i="1"/>
  <c r="A436" i="1"/>
  <c r="N435" i="1"/>
  <c r="A435" i="1"/>
  <c r="A434" i="1"/>
  <c r="N433" i="1"/>
  <c r="A433" i="1"/>
  <c r="N432" i="1"/>
  <c r="A432" i="1"/>
  <c r="N431" i="1"/>
  <c r="A431" i="1"/>
  <c r="N430" i="1"/>
  <c r="A430" i="1"/>
  <c r="N429" i="1"/>
  <c r="A429" i="1"/>
  <c r="N428" i="1"/>
  <c r="A428" i="1"/>
  <c r="N427" i="1"/>
  <c r="A427" i="1"/>
  <c r="N426" i="1"/>
  <c r="A426" i="1"/>
  <c r="A425" i="1"/>
  <c r="A424" i="1"/>
  <c r="A423" i="1"/>
  <c r="A422" i="1"/>
  <c r="N421" i="1"/>
  <c r="A421" i="1"/>
  <c r="A420" i="1"/>
  <c r="N419" i="1"/>
  <c r="A419" i="1"/>
  <c r="N418" i="1"/>
  <c r="A418" i="1"/>
  <c r="A417" i="1"/>
  <c r="N416" i="1"/>
  <c r="A416" i="1"/>
  <c r="N415" i="1"/>
  <c r="A415" i="1"/>
  <c r="N414" i="1"/>
  <c r="A414" i="1"/>
  <c r="N413" i="1"/>
  <c r="A413" i="1"/>
  <c r="N412" i="1"/>
  <c r="A412" i="1"/>
  <c r="A411" i="1"/>
  <c r="A410" i="1"/>
  <c r="A409" i="1"/>
  <c r="N408" i="1"/>
  <c r="A408" i="1"/>
  <c r="N407" i="1"/>
  <c r="A407" i="1"/>
  <c r="A406" i="1"/>
  <c r="N405" i="1"/>
  <c r="A405" i="1"/>
  <c r="N404" i="1"/>
  <c r="A404" i="1"/>
  <c r="N403" i="1"/>
  <c r="A403" i="1"/>
  <c r="N402" i="1"/>
  <c r="A402" i="1"/>
  <c r="N401" i="1"/>
  <c r="A401" i="1"/>
  <c r="N400" i="1"/>
  <c r="A400" i="1"/>
  <c r="N399" i="1"/>
  <c r="A399" i="1"/>
  <c r="N398" i="1"/>
  <c r="A398" i="1"/>
  <c r="A397" i="1"/>
  <c r="A396" i="1"/>
  <c r="A395" i="1"/>
  <c r="A394" i="1"/>
  <c r="N393" i="1"/>
  <c r="A393" i="1"/>
  <c r="A392" i="1"/>
  <c r="N391" i="1"/>
  <c r="A391" i="1"/>
  <c r="N390" i="1"/>
  <c r="A390" i="1"/>
  <c r="N389" i="1"/>
  <c r="A389" i="1"/>
  <c r="N388" i="1"/>
  <c r="A388" i="1"/>
  <c r="N387" i="1"/>
  <c r="A387" i="1"/>
  <c r="N386" i="1"/>
  <c r="A386" i="1"/>
  <c r="N385" i="1"/>
  <c r="A385" i="1"/>
  <c r="N384" i="1"/>
  <c r="A384" i="1"/>
  <c r="A383" i="1"/>
  <c r="A382" i="1"/>
  <c r="A381" i="1"/>
  <c r="A380" i="1"/>
  <c r="N379" i="1"/>
  <c r="A379" i="1"/>
  <c r="A378" i="1"/>
  <c r="N377" i="1"/>
  <c r="A377" i="1"/>
  <c r="N376" i="1"/>
  <c r="A376" i="1"/>
  <c r="A375" i="1"/>
  <c r="N374" i="1"/>
  <c r="A374" i="1"/>
  <c r="N373" i="1"/>
  <c r="A373" i="1"/>
  <c r="N372" i="1"/>
  <c r="A372" i="1"/>
  <c r="N371" i="1"/>
  <c r="A371" i="1"/>
  <c r="N370" i="1"/>
  <c r="A370" i="1"/>
  <c r="A369" i="1"/>
  <c r="A368" i="1"/>
  <c r="A367" i="1"/>
  <c r="A366" i="1"/>
  <c r="N365" i="1"/>
  <c r="A365" i="1"/>
  <c r="A364" i="1"/>
  <c r="N363" i="1"/>
  <c r="A363" i="1"/>
  <c r="N362" i="1"/>
  <c r="A362" i="1"/>
  <c r="N361" i="1"/>
  <c r="A361" i="1"/>
  <c r="N360" i="1"/>
  <c r="A360" i="1"/>
  <c r="N359" i="1"/>
  <c r="A359" i="1"/>
  <c r="N358" i="1"/>
  <c r="A358" i="1"/>
  <c r="N357" i="1"/>
  <c r="A357" i="1"/>
  <c r="N356" i="1"/>
  <c r="A356" i="1"/>
  <c r="A355" i="1"/>
  <c r="A354" i="1"/>
  <c r="A353" i="1"/>
  <c r="A352" i="1"/>
  <c r="N351" i="1"/>
  <c r="A351" i="1"/>
  <c r="N350" i="1"/>
  <c r="A350" i="1"/>
  <c r="N349" i="1"/>
  <c r="A349" i="1"/>
  <c r="N348" i="1"/>
  <c r="A348" i="1"/>
  <c r="N347" i="1"/>
  <c r="A347" i="1"/>
  <c r="N346" i="1"/>
  <c r="A346" i="1"/>
  <c r="N345" i="1"/>
  <c r="A345" i="1"/>
  <c r="N344" i="1"/>
  <c r="A344" i="1"/>
  <c r="N343" i="1"/>
  <c r="A343" i="1"/>
  <c r="N342" i="1"/>
  <c r="A342" i="1"/>
  <c r="A341" i="1"/>
  <c r="A340" i="1"/>
  <c r="A339" i="1"/>
  <c r="A338" i="1"/>
  <c r="N337" i="1"/>
  <c r="A337" i="1"/>
  <c r="A336" i="1"/>
  <c r="N335" i="1"/>
  <c r="A335" i="1"/>
  <c r="N334" i="1"/>
  <c r="A334" i="1"/>
  <c r="N333" i="1"/>
  <c r="A333" i="1"/>
  <c r="N332" i="1"/>
  <c r="A332" i="1"/>
  <c r="N331" i="1"/>
  <c r="A331" i="1"/>
  <c r="N330" i="1"/>
  <c r="A330" i="1"/>
  <c r="N329" i="1"/>
  <c r="A329" i="1"/>
  <c r="N328" i="1"/>
  <c r="A328" i="1"/>
  <c r="A327" i="1"/>
  <c r="A326" i="1"/>
  <c r="A325" i="1"/>
  <c r="A324" i="1"/>
  <c r="N323" i="1"/>
  <c r="A323" i="1"/>
  <c r="A322" i="1"/>
  <c r="N321" i="1"/>
  <c r="A321" i="1"/>
  <c r="N320" i="1"/>
  <c r="A320" i="1"/>
  <c r="N319" i="1"/>
  <c r="A319" i="1"/>
  <c r="N318" i="1"/>
  <c r="A318" i="1"/>
  <c r="N317" i="1"/>
  <c r="A317" i="1"/>
  <c r="N316" i="1"/>
  <c r="A316" i="1"/>
  <c r="N315" i="1"/>
  <c r="A315" i="1"/>
  <c r="N314" i="1"/>
  <c r="A314" i="1"/>
  <c r="A313" i="1"/>
  <c r="A312" i="1"/>
  <c r="A311" i="1"/>
  <c r="N310" i="1"/>
  <c r="A310" i="1"/>
  <c r="N309" i="1"/>
  <c r="A309" i="1"/>
  <c r="A308" i="1"/>
  <c r="N307" i="1"/>
  <c r="A307" i="1"/>
  <c r="N306" i="1"/>
  <c r="A306" i="1"/>
  <c r="N305" i="1"/>
  <c r="A305" i="1"/>
  <c r="N304" i="1"/>
  <c r="A304" i="1"/>
  <c r="N303" i="1"/>
  <c r="A303" i="1"/>
  <c r="N302" i="1"/>
  <c r="A302" i="1"/>
  <c r="N301" i="1"/>
  <c r="A301" i="1"/>
  <c r="N300" i="1"/>
  <c r="A300" i="1"/>
  <c r="A299" i="1"/>
  <c r="A298" i="1"/>
  <c r="A297" i="1"/>
  <c r="N296" i="1"/>
  <c r="A296" i="1"/>
  <c r="N295" i="1"/>
  <c r="A295" i="1"/>
  <c r="A294" i="1"/>
  <c r="N293" i="1"/>
  <c r="A293" i="1"/>
  <c r="N292" i="1"/>
  <c r="A292" i="1"/>
  <c r="A291" i="1"/>
  <c r="N290" i="1"/>
  <c r="A290" i="1"/>
  <c r="N289" i="1"/>
  <c r="A289" i="1"/>
  <c r="N288" i="1"/>
  <c r="A288" i="1"/>
  <c r="N287" i="1"/>
  <c r="A287" i="1"/>
  <c r="N286" i="1"/>
  <c r="A286" i="1"/>
  <c r="A285" i="1"/>
  <c r="A284" i="1"/>
  <c r="A283" i="1"/>
  <c r="A282" i="1"/>
  <c r="N281" i="1"/>
  <c r="A281" i="1"/>
  <c r="A280" i="1"/>
  <c r="N279" i="1"/>
  <c r="A279" i="1"/>
  <c r="N278" i="1"/>
  <c r="A278" i="1"/>
  <c r="N277" i="1"/>
  <c r="A277" i="1"/>
  <c r="N276" i="1"/>
  <c r="A276" i="1"/>
  <c r="N275" i="1"/>
  <c r="A275" i="1"/>
  <c r="N274" i="1"/>
  <c r="A274" i="1"/>
  <c r="N273" i="1"/>
  <c r="A273" i="1"/>
  <c r="N272" i="1"/>
  <c r="A272" i="1"/>
  <c r="A271" i="1"/>
  <c r="A270" i="1"/>
  <c r="A269" i="1"/>
  <c r="A268" i="1"/>
  <c r="N267" i="1"/>
  <c r="A267" i="1"/>
  <c r="N266" i="1"/>
  <c r="A266" i="1"/>
  <c r="N265" i="1"/>
  <c r="A265" i="1"/>
  <c r="N264" i="1"/>
  <c r="A264" i="1"/>
  <c r="N263" i="1"/>
  <c r="A263" i="1"/>
  <c r="N262" i="1"/>
  <c r="A262" i="1"/>
  <c r="N261" i="1"/>
  <c r="A261" i="1"/>
  <c r="N260" i="1"/>
  <c r="A260" i="1"/>
  <c r="N259" i="1"/>
  <c r="A259" i="1"/>
  <c r="N258" i="1"/>
  <c r="A258" i="1"/>
  <c r="A257" i="1"/>
  <c r="A256" i="1"/>
  <c r="A255" i="1"/>
  <c r="A254" i="1"/>
  <c r="N253" i="1"/>
  <c r="A253" i="1"/>
  <c r="A252" i="1"/>
  <c r="N251" i="1"/>
  <c r="A251" i="1"/>
  <c r="N250" i="1"/>
  <c r="A250" i="1"/>
  <c r="N249" i="1"/>
  <c r="A249" i="1"/>
  <c r="N248" i="1"/>
  <c r="A248" i="1"/>
  <c r="N247" i="1"/>
  <c r="A247" i="1"/>
  <c r="N246" i="1"/>
  <c r="A246" i="1"/>
  <c r="N245" i="1"/>
  <c r="A245" i="1"/>
  <c r="N244" i="1"/>
  <c r="A244" i="1"/>
  <c r="A243" i="1"/>
  <c r="A242" i="1"/>
  <c r="A241" i="1"/>
  <c r="A240" i="1"/>
  <c r="A239" i="1"/>
  <c r="A238" i="1"/>
  <c r="N237" i="1"/>
  <c r="A237" i="1"/>
  <c r="N236" i="1"/>
  <c r="A236" i="1"/>
  <c r="N235" i="1"/>
  <c r="A235" i="1"/>
  <c r="N234" i="1"/>
  <c r="A234" i="1"/>
  <c r="N233" i="1"/>
  <c r="A233" i="1"/>
  <c r="N232" i="1"/>
  <c r="A232" i="1"/>
  <c r="N231" i="1"/>
  <c r="A231" i="1"/>
  <c r="N230" i="1"/>
  <c r="A230" i="1"/>
  <c r="A229" i="1"/>
  <c r="A228" i="1"/>
  <c r="A227" i="1"/>
  <c r="A226" i="1"/>
  <c r="A225" i="1"/>
  <c r="N224" i="1"/>
  <c r="A224" i="1"/>
  <c r="A223" i="1"/>
  <c r="N222" i="1"/>
  <c r="A222" i="1"/>
  <c r="N221" i="1"/>
  <c r="A221" i="1"/>
  <c r="N220" i="1"/>
  <c r="A220" i="1"/>
  <c r="N219" i="1"/>
  <c r="A219" i="1"/>
  <c r="N218" i="1"/>
  <c r="A218" i="1"/>
  <c r="N217" i="1"/>
  <c r="A217" i="1"/>
  <c r="N216" i="1"/>
  <c r="A216" i="1"/>
  <c r="A215" i="1"/>
  <c r="A214" i="1"/>
  <c r="A213" i="1"/>
  <c r="A212" i="1"/>
  <c r="N211" i="1"/>
  <c r="A211" i="1"/>
  <c r="A210" i="1"/>
  <c r="N209" i="1"/>
  <c r="A209" i="1"/>
  <c r="N208" i="1"/>
  <c r="A208" i="1"/>
  <c r="N207" i="1"/>
  <c r="A207" i="1"/>
  <c r="N206" i="1"/>
  <c r="A206" i="1"/>
  <c r="N205" i="1"/>
  <c r="A205" i="1"/>
  <c r="N204" i="1"/>
  <c r="A204" i="1"/>
  <c r="N203" i="1"/>
  <c r="A203" i="1"/>
  <c r="N202" i="1"/>
  <c r="A202" i="1"/>
  <c r="A201" i="1"/>
  <c r="A200" i="1"/>
  <c r="A199" i="1"/>
  <c r="A198" i="1"/>
  <c r="N197" i="1"/>
  <c r="A197" i="1"/>
  <c r="A196" i="1"/>
  <c r="A195" i="1"/>
  <c r="N194" i="1"/>
  <c r="A194" i="1"/>
  <c r="N193" i="1"/>
  <c r="A193" i="1"/>
  <c r="N192" i="1"/>
  <c r="A192" i="1"/>
  <c r="N191" i="1"/>
  <c r="A191" i="1"/>
  <c r="N190" i="1"/>
  <c r="A190" i="1"/>
  <c r="N189" i="1"/>
  <c r="A189" i="1"/>
  <c r="N188" i="1"/>
  <c r="A188" i="1"/>
  <c r="A187" i="1"/>
  <c r="A186" i="1"/>
  <c r="A185" i="1"/>
  <c r="N184" i="1"/>
  <c r="A184" i="1"/>
  <c r="A183" i="1"/>
  <c r="N182" i="1"/>
  <c r="A182" i="1"/>
  <c r="N181" i="1"/>
  <c r="A181" i="1"/>
  <c r="N180" i="1"/>
  <c r="A180" i="1"/>
  <c r="N179" i="1"/>
  <c r="A179" i="1"/>
  <c r="A178" i="1"/>
  <c r="N177" i="1"/>
  <c r="A177" i="1"/>
  <c r="N176" i="1"/>
  <c r="A176" i="1"/>
  <c r="N175" i="1"/>
  <c r="A175" i="1"/>
  <c r="N174" i="1"/>
  <c r="A174" i="1"/>
  <c r="A173" i="1"/>
  <c r="A172" i="1"/>
  <c r="A171" i="1"/>
  <c r="A170" i="1"/>
  <c r="N169" i="1"/>
  <c r="A169" i="1"/>
  <c r="A168" i="1"/>
  <c r="A167" i="1"/>
  <c r="A166" i="1"/>
  <c r="N165" i="1"/>
  <c r="A165" i="1"/>
  <c r="N164" i="1"/>
  <c r="A164" i="1"/>
  <c r="N163" i="1"/>
  <c r="A163" i="1"/>
  <c r="N162" i="1"/>
  <c r="A162" i="1"/>
  <c r="N161" i="1"/>
  <c r="A161" i="1"/>
  <c r="N160" i="1"/>
  <c r="A160" i="1"/>
  <c r="A159" i="1"/>
  <c r="A158" i="1"/>
  <c r="A157" i="1"/>
  <c r="A156" i="1"/>
  <c r="A155" i="1"/>
  <c r="A154" i="1"/>
  <c r="N153" i="1"/>
  <c r="A153" i="1"/>
  <c r="A152" i="1"/>
  <c r="N151" i="1"/>
  <c r="A151" i="1"/>
  <c r="N150" i="1"/>
  <c r="A150" i="1"/>
  <c r="N149" i="1"/>
  <c r="A149" i="1"/>
  <c r="N148" i="1"/>
  <c r="A148" i="1"/>
  <c r="N147" i="1"/>
  <c r="A147" i="1"/>
  <c r="N146" i="1"/>
  <c r="A146" i="1"/>
  <c r="A145" i="1"/>
  <c r="A144" i="1"/>
  <c r="A143" i="1"/>
  <c r="N142" i="1"/>
  <c r="A142" i="1"/>
  <c r="A141" i="1"/>
  <c r="A140" i="1"/>
  <c r="N139" i="1"/>
  <c r="A139" i="1"/>
  <c r="N138" i="1"/>
  <c r="A138" i="1"/>
  <c r="N137" i="1"/>
  <c r="A137" i="1"/>
  <c r="N136" i="1"/>
  <c r="A136" i="1"/>
  <c r="N135" i="1"/>
  <c r="A135" i="1"/>
  <c r="N134" i="1"/>
  <c r="A134" i="1"/>
  <c r="N133" i="1"/>
  <c r="A133" i="1"/>
  <c r="N132" i="1"/>
  <c r="A132" i="1"/>
  <c r="A131" i="1"/>
  <c r="A130" i="1"/>
  <c r="A129" i="1"/>
  <c r="N128" i="1"/>
  <c r="A128" i="1"/>
  <c r="N127" i="1"/>
  <c r="A127" i="1"/>
  <c r="A126" i="1"/>
  <c r="A125" i="1"/>
  <c r="N124" i="1"/>
  <c r="A124" i="1"/>
  <c r="N123" i="1"/>
  <c r="A123" i="1"/>
  <c r="N122" i="1"/>
  <c r="A122" i="1"/>
  <c r="N121" i="1"/>
  <c r="A121" i="1"/>
  <c r="N120" i="1"/>
  <c r="A120" i="1"/>
  <c r="N119" i="1"/>
  <c r="A119" i="1"/>
  <c r="N118" i="1"/>
  <c r="A118" i="1"/>
  <c r="N117" i="1"/>
  <c r="A117" i="1"/>
  <c r="A116" i="1"/>
  <c r="A115" i="1"/>
  <c r="N114" i="1"/>
  <c r="A114" i="1"/>
  <c r="N113" i="1"/>
  <c r="A113" i="1"/>
  <c r="A112" i="1"/>
  <c r="N111" i="1"/>
  <c r="A111" i="1"/>
  <c r="N110" i="1"/>
  <c r="A110" i="1"/>
  <c r="N109" i="1"/>
  <c r="A109" i="1"/>
  <c r="N108" i="1"/>
  <c r="A108" i="1"/>
  <c r="N107" i="1"/>
  <c r="A107" i="1"/>
  <c r="N106" i="1"/>
  <c r="A106" i="1"/>
  <c r="N105" i="1"/>
  <c r="A105" i="1"/>
  <c r="N104" i="1"/>
  <c r="A104" i="1"/>
  <c r="A103" i="1"/>
  <c r="A102" i="1"/>
  <c r="A101" i="1"/>
  <c r="N100" i="1"/>
  <c r="A100" i="1"/>
  <c r="N99" i="1"/>
  <c r="A99" i="1"/>
  <c r="N98" i="1"/>
  <c r="A98" i="1"/>
  <c r="N97" i="1"/>
  <c r="A97" i="1"/>
  <c r="N96" i="1"/>
  <c r="A96" i="1"/>
  <c r="N95" i="1"/>
  <c r="A95" i="1"/>
  <c r="N94" i="1"/>
  <c r="A94" i="1"/>
  <c r="N93" i="1"/>
  <c r="A93" i="1"/>
  <c r="N92" i="1"/>
  <c r="A92" i="1"/>
  <c r="N91" i="1"/>
  <c r="A91" i="1"/>
  <c r="N90" i="1"/>
  <c r="A90" i="1"/>
  <c r="A89" i="1"/>
  <c r="A88" i="1"/>
  <c r="A87" i="1"/>
  <c r="N86" i="1"/>
  <c r="A86" i="1"/>
  <c r="A85" i="1"/>
  <c r="N84" i="1"/>
  <c r="A84" i="1"/>
  <c r="N83" i="1"/>
  <c r="A83" i="1"/>
  <c r="N82" i="1"/>
  <c r="A82" i="1"/>
  <c r="N81" i="1"/>
  <c r="A81" i="1"/>
  <c r="N80" i="1"/>
  <c r="A80" i="1"/>
  <c r="N79" i="1"/>
  <c r="A79" i="1"/>
  <c r="N78" i="1"/>
  <c r="A78" i="1"/>
  <c r="N77" i="1"/>
  <c r="A77" i="1"/>
  <c r="N76" i="1"/>
  <c r="A76" i="1"/>
  <c r="A75" i="1"/>
  <c r="A74" i="1"/>
  <c r="A73" i="1"/>
  <c r="A72" i="1"/>
  <c r="N71" i="1"/>
  <c r="A71" i="1"/>
  <c r="A70" i="1"/>
  <c r="N69" i="1"/>
  <c r="A69" i="1"/>
  <c r="N68" i="1"/>
  <c r="A68" i="1"/>
  <c r="N67" i="1"/>
  <c r="A67" i="1"/>
  <c r="N66" i="1"/>
  <c r="A66" i="1"/>
  <c r="N65" i="1"/>
  <c r="A65" i="1"/>
  <c r="N64" i="1"/>
  <c r="A64" i="1"/>
  <c r="N63" i="1"/>
  <c r="A63" i="1"/>
  <c r="N62" i="1"/>
  <c r="A62" i="1"/>
  <c r="A61" i="1"/>
  <c r="A60" i="1"/>
  <c r="A59" i="1"/>
  <c r="N58" i="1"/>
  <c r="A58" i="1"/>
  <c r="N57" i="1"/>
  <c r="A57" i="1"/>
  <c r="A56" i="1"/>
  <c r="N55" i="1"/>
  <c r="A55" i="1"/>
  <c r="N54" i="1"/>
  <c r="A54" i="1"/>
  <c r="N53" i="1"/>
  <c r="A53" i="1"/>
  <c r="N52" i="1"/>
  <c r="A52" i="1"/>
  <c r="N51" i="1"/>
  <c r="A51" i="1"/>
  <c r="N50" i="1"/>
  <c r="A50" i="1"/>
  <c r="N49" i="1"/>
  <c r="A49" i="1"/>
  <c r="N48" i="1"/>
  <c r="A48" i="1"/>
  <c r="A47" i="1"/>
  <c r="A46" i="1"/>
  <c r="A45" i="1"/>
  <c r="N44" i="1"/>
  <c r="A44" i="1"/>
  <c r="N43" i="1"/>
  <c r="A43" i="1"/>
  <c r="N42" i="1"/>
  <c r="A42" i="1"/>
  <c r="N41" i="1"/>
  <c r="A41" i="1"/>
  <c r="N40" i="1"/>
  <c r="A40" i="1"/>
  <c r="N39" i="1"/>
  <c r="A39" i="1"/>
  <c r="N38" i="1"/>
  <c r="A38" i="1"/>
  <c r="N37" i="1"/>
  <c r="A37" i="1"/>
  <c r="N36" i="1"/>
  <c r="A36" i="1"/>
  <c r="N35" i="1"/>
  <c r="A35" i="1"/>
  <c r="N34" i="1"/>
  <c r="A34" i="1"/>
  <c r="N33" i="1"/>
  <c r="A33" i="1"/>
  <c r="A32" i="1"/>
  <c r="A31" i="1"/>
  <c r="N30" i="1"/>
  <c r="A30" i="1"/>
  <c r="N29" i="1"/>
  <c r="A29" i="1"/>
  <c r="N28" i="1"/>
  <c r="A28" i="1"/>
  <c r="N27" i="1"/>
  <c r="A27" i="1"/>
  <c r="N26" i="1"/>
  <c r="A26" i="1"/>
  <c r="N25" i="1"/>
  <c r="A25" i="1"/>
  <c r="N24" i="1"/>
  <c r="A24" i="1"/>
  <c r="N23" i="1"/>
  <c r="A23" i="1"/>
  <c r="N22" i="1"/>
  <c r="A22" i="1"/>
  <c r="N21" i="1"/>
  <c r="A21" i="1"/>
  <c r="N20" i="1"/>
  <c r="A20" i="1"/>
  <c r="N19" i="1"/>
  <c r="A19" i="1"/>
  <c r="A18" i="1"/>
  <c r="A17" i="1"/>
  <c r="A16" i="1"/>
  <c r="H5" i="2"/>
  <c r="H6" i="2"/>
  <c r="I6" i="2" s="1"/>
  <c r="H8" i="2"/>
  <c r="I8" i="2" s="1"/>
  <c r="N4" i="1" l="1"/>
  <c r="I5" i="2"/>
  <c r="H4" i="2"/>
  <c r="I4" i="2" s="1"/>
  <c r="C19" i="3"/>
  <c r="C18" i="3"/>
  <c r="C17" i="3"/>
  <c r="C16" i="3"/>
  <c r="C15" i="3"/>
  <c r="C14" i="3"/>
  <c r="B10" i="3" l="1"/>
  <c r="C10" i="3" s="1"/>
  <c r="B5" i="3"/>
  <c r="C5" i="3" s="1"/>
  <c r="B6" i="3"/>
  <c r="C6" i="3" s="1"/>
  <c r="B7" i="3"/>
  <c r="C7" i="3" s="1"/>
  <c r="B8" i="3"/>
  <c r="C8" i="3" s="1"/>
  <c r="B9" i="3"/>
  <c r="C9" i="3" s="1"/>
</calcChain>
</file>

<file path=xl/sharedStrings.xml><?xml version="1.0" encoding="utf-8"?>
<sst xmlns="http://schemas.openxmlformats.org/spreadsheetml/2006/main" count="1369" uniqueCount="623">
  <si>
    <t>No.</t>
  </si>
  <si>
    <t>Tool ID</t>
  </si>
  <si>
    <t>Tool Name</t>
  </si>
  <si>
    <t>Tool Type</t>
  </si>
  <si>
    <t>Specification/Model</t>
  </si>
  <si>
    <t>Accuracy</t>
  </si>
  <si>
    <t>Serial No.</t>
  </si>
  <si>
    <t>Manufacturer</t>
  </si>
  <si>
    <t>Location</t>
  </si>
  <si>
    <t>Responsible Person</t>
  </si>
  <si>
    <t>Calibration Period (month)</t>
  </si>
  <si>
    <t>Last Calibration Date</t>
  </si>
  <si>
    <t>Next Calibration Date</t>
  </si>
  <si>
    <t>Calibration Status</t>
  </si>
  <si>
    <t>Calibration Agency</t>
  </si>
  <si>
    <t>Calibration Certificate No.</t>
  </si>
  <si>
    <t>Remarks</t>
  </si>
  <si>
    <t>Last Alert</t>
  </si>
  <si>
    <t>22814724</t>
  </si>
  <si>
    <t>Temp/Humidity Meter</t>
  </si>
  <si>
    <t>-50°C-70°C 
10%-99%RH</t>
  </si>
  <si>
    <t>±1°C 
±SRH (40%-80%)</t>
  </si>
  <si>
    <t>NA</t>
  </si>
  <si>
    <t>衡水博德福仪器仪表有限公司</t>
  </si>
  <si>
    <t>Office</t>
  </si>
  <si>
    <t>福建省中特检测研究院有限公司
Fujian Zhongte Testing Institute Co.,Ltd.</t>
  </si>
  <si>
    <t>ZTTJL20260908-0172</t>
  </si>
  <si>
    <t>EX-001</t>
  </si>
  <si>
    <t>Testing Tool</t>
  </si>
  <si>
    <t>SN87V-2026</t>
  </si>
  <si>
    <t>Li Qiang</t>
  </si>
  <si>
    <t>EX-002</t>
  </si>
  <si>
    <t>Measuring Tool</t>
  </si>
  <si>
    <t>SNPB202601</t>
  </si>
  <si>
    <t>Wang Lei</t>
  </si>
  <si>
    <t>EX-003</t>
  </si>
  <si>
    <t>Torque Tool</t>
  </si>
  <si>
    <t>SNTB202605</t>
  </si>
  <si>
    <t>Zhao Peng</t>
  </si>
  <si>
    <t>Planned Month</t>
  </si>
  <si>
    <t>Due in (days)</t>
  </si>
  <si>
    <t>Priority</t>
  </si>
  <si>
    <t>Actual Calibration Date</t>
  </si>
  <si>
    <t>Calibration Result</t>
  </si>
  <si>
    <t>Jul 2026</t>
  </si>
  <si>
    <t>Sent for calibration</t>
  </si>
  <si>
    <t>XX Metrology Institute</t>
  </si>
  <si>
    <t>Scheduled for calibration</t>
  </si>
  <si>
    <t>Internal Metrology Lab</t>
  </si>
  <si>
    <t>Aug 2026</t>
  </si>
  <si>
    <t>test_NONEXIST</t>
  </si>
  <si>
    <t>Weighing Tool</t>
  </si>
  <si>
    <t>N/A</t>
  </si>
  <si>
    <t>Calibrated Tools Status Summary</t>
  </si>
  <si>
    <t>Overview</t>
  </si>
  <si>
    <t>Item</t>
  </si>
  <si>
    <t>Count</t>
  </si>
  <si>
    <t>Percentage</t>
  </si>
  <si>
    <t>Description</t>
  </si>
  <si>
    <t>Total Tools</t>
  </si>
  <si>
    <t>100%</t>
  </si>
  <si>
    <t>All registered calibrated tools</t>
  </si>
  <si>
    <t>Pass</t>
  </si>
  <si>
    <t>Currently calibrated and passing</t>
  </si>
  <si>
    <t>Expired</t>
  </si>
  <si>
    <t>Past next calibration date</t>
  </si>
  <si>
    <t>Expiring Soon</t>
  </si>
  <si>
    <t>Approaching calibration due date</t>
  </si>
  <si>
    <t>Sent for Calibration</t>
  </si>
  <si>
    <t>Tool sent to external calibration lab</t>
  </si>
  <si>
    <t>Scheduled for Calibration</t>
  </si>
  <si>
    <t>Calibration scheduled but not yet sent</t>
  </si>
  <si>
    <t>Failed</t>
  </si>
  <si>
    <t>Calibration result failed</t>
  </si>
  <si>
    <t>By Tool Type</t>
  </si>
  <si>
    <t>Instructions</t>
  </si>
  <si>
    <t>1. The "Calibrated Tools Register" sheet records detailed information and calibration status of all tools.</t>
  </si>
  <si>
    <t>2. The "Calibration Schedule" sheet plans and tracks the execution of each calibration task.</t>
  </si>
  <si>
    <t>3. The "Calibration Status Summary" sheet auto-statistics tool status distribution for management decisions.</t>
  </si>
  <si>
    <t>4. In Schedule sheet: Enter Tool ID in column C → Tool Name auto-looks up from Register. If not found, cell turns RED with "NOT registered".</t>
  </si>
  <si>
    <t>5. "Due in (days)" column auto-calculates days until next calibration based on Register sheet data.</t>
  </si>
  <si>
    <t>7. "Calibration Status" column has dropdown: Calibrated / Sent for calibration / Scheduled for calibration.</t>
  </si>
  <si>
    <t>8. If Schedule sheet shows "Sent for calibration" or "Scheduled for calibration", the Register sheet status updates accordingly.</t>
  </si>
  <si>
    <t>9. Conditional formatting: Percentage column auto-highlights based on status type (Pass=green, Expired=red, etc.).</t>
  </si>
  <si>
    <t>10. It is recommended to update the register data monthly to ensure calibration status reflects reality.</t>
  </si>
  <si>
    <t xml:space="preserve"> Calibrated Tools Register</t>
  </si>
  <si>
    <t xml:space="preserve"> Calibration Schedule</t>
  </si>
  <si>
    <t>6. "Priority" column auto-fills based on days to due: Urgent (≤0 days), High (≤30 days), Medium (≤45 days), Low (&gt;45 days).</t>
  </si>
  <si>
    <t>42506</t>
  </si>
  <si>
    <t>工具箱</t>
  </si>
  <si>
    <t>DWST083294</t>
  </si>
  <si>
    <t>DeWALT</t>
  </si>
  <si>
    <t>扭力扳手</t>
  </si>
  <si>
    <t>1/2 1000IN.LB</t>
  </si>
  <si>
    <t>0.5%, 100-1000</t>
  </si>
  <si>
    <t>35348</t>
  </si>
  <si>
    <t>1/2 250FT.LB</t>
  </si>
  <si>
    <t>0.5%, 25-250</t>
  </si>
  <si>
    <t>35300</t>
  </si>
  <si>
    <t>对讲机</t>
  </si>
  <si>
    <t>Tool Cart 01 Rack 5</t>
  </si>
  <si>
    <t>20427</t>
  </si>
  <si>
    <t>LED工作灯</t>
  </si>
  <si>
    <t>Tool Cart 01 Rack 4</t>
  </si>
  <si>
    <t>Tool Cart 01 Rack 6</t>
  </si>
  <si>
    <t>31255</t>
  </si>
  <si>
    <t>数显倾角仪</t>
  </si>
  <si>
    <t xml:space="preserve">0.05 at 0&amp;90 degree, 0.15 for others </t>
  </si>
  <si>
    <t>32099</t>
  </si>
  <si>
    <t>钟表螺丝刀</t>
  </si>
  <si>
    <t>20395</t>
  </si>
  <si>
    <t>倒角刀套装</t>
  </si>
  <si>
    <t>155-90065</t>
  </si>
  <si>
    <t>20378</t>
  </si>
  <si>
    <t>电烙铁组件</t>
  </si>
  <si>
    <t>SHAVIV</t>
  </si>
  <si>
    <t>35050</t>
  </si>
  <si>
    <t>棘轮扳手</t>
  </si>
  <si>
    <t>31187</t>
  </si>
  <si>
    <t>数字万用表</t>
  </si>
  <si>
    <t>68420076WS</t>
  </si>
  <si>
    <t>68420078WS</t>
  </si>
  <si>
    <t>68420079WS</t>
  </si>
  <si>
    <t>Tool Cart 01 Rack 8</t>
  </si>
  <si>
    <t>Tool Cart 01 Rack 7</t>
  </si>
  <si>
    <t>35303</t>
  </si>
  <si>
    <t>福禄克电流表夹具</t>
  </si>
  <si>
    <t>66810465WS</t>
  </si>
  <si>
    <t>66810463WS</t>
  </si>
  <si>
    <t>66810464WS</t>
  </si>
  <si>
    <t>福禄克测试头</t>
  </si>
  <si>
    <t>33920</t>
  </si>
  <si>
    <t>FNL02SAFVAH</t>
  </si>
  <si>
    <t>35305</t>
  </si>
  <si>
    <t>福禄克高压探针</t>
  </si>
  <si>
    <t>22616</t>
  </si>
  <si>
    <t>手动电钻</t>
  </si>
  <si>
    <t>Tool Cart 02 Rack 8</t>
  </si>
  <si>
    <t>35379</t>
  </si>
  <si>
    <t>电磨套装</t>
  </si>
  <si>
    <t>226071233456</t>
  </si>
  <si>
    <t>226071233453</t>
  </si>
  <si>
    <t>Tool Cart 02 Rack 7</t>
  </si>
  <si>
    <t>35380</t>
  </si>
  <si>
    <t>624002133</t>
  </si>
  <si>
    <t>624002131</t>
  </si>
  <si>
    <t>电锤+工具箱108件套</t>
  </si>
  <si>
    <t>Tool Cart 02 Rack 6</t>
  </si>
  <si>
    <t>33925</t>
  </si>
  <si>
    <t>内六角套筒组件</t>
  </si>
  <si>
    <t>20401</t>
  </si>
  <si>
    <t>20402</t>
  </si>
  <si>
    <t>英制六角套筒套装</t>
  </si>
  <si>
    <t>Genius</t>
  </si>
  <si>
    <t>1/2驱动1/4, 5/16, 3/8, 7/16, 1/2, 9/16, 5/8, 3/4, 6, 7, 8, 10, 12, 14, 17, 19</t>
  </si>
  <si>
    <t>3/8驱动5/16, 3/8, 7/16, 1/2, 9/16, 5/8, 11/16, 3/4, 13/16, 7/8</t>
  </si>
  <si>
    <t>1/2驱动1/2, 9/16, 5/8, 11/16, 3/4, 13/16, 7/8, 15/16, 1</t>
  </si>
  <si>
    <t>角磨机</t>
  </si>
  <si>
    <t>GWS 7-100ET</t>
  </si>
  <si>
    <t>621056746</t>
  </si>
  <si>
    <t>621056743</t>
  </si>
  <si>
    <t>21484</t>
  </si>
  <si>
    <t>电锯</t>
  </si>
  <si>
    <t>GSA 1300</t>
  </si>
  <si>
    <t>531000097</t>
  </si>
  <si>
    <t>531000017</t>
  </si>
  <si>
    <t>Tool Cart 02 Rack 5</t>
  </si>
  <si>
    <t>33918</t>
  </si>
  <si>
    <t>冲击扳手</t>
  </si>
  <si>
    <t>GDS 18V-400</t>
  </si>
  <si>
    <t>622208516</t>
  </si>
  <si>
    <t>水平仪</t>
  </si>
  <si>
    <t>98AZ-8</t>
  </si>
  <si>
    <t>EDP 62347</t>
  </si>
  <si>
    <t>22259</t>
  </si>
  <si>
    <t>塞规</t>
  </si>
  <si>
    <t>EDP 50314</t>
  </si>
  <si>
    <t>20407</t>
  </si>
  <si>
    <t>Starrett</t>
  </si>
  <si>
    <t>Above Tool Cart 02</t>
  </si>
  <si>
    <t>20422</t>
  </si>
  <si>
    <t>焊接台</t>
  </si>
  <si>
    <t>SATA</t>
  </si>
  <si>
    <t>42509</t>
  </si>
  <si>
    <t>工具盒</t>
  </si>
  <si>
    <t>20-compartment</t>
  </si>
  <si>
    <t>*3</t>
  </si>
  <si>
    <t>Tool Cart 01 Rack 3</t>
  </si>
  <si>
    <t>29887</t>
  </si>
  <si>
    <t>折叠刀</t>
  </si>
  <si>
    <t>Deli</t>
  </si>
  <si>
    <t>*4</t>
  </si>
  <si>
    <t>Tool Cart 01 Rack 2</t>
  </si>
  <si>
    <t>21739</t>
  </si>
  <si>
    <t>可伸缩磁铁取回器</t>
  </si>
  <si>
    <t>长城精工</t>
  </si>
  <si>
    <t>20391</t>
  </si>
  <si>
    <t>钢板尺</t>
  </si>
  <si>
    <t>6"</t>
  </si>
  <si>
    <t>*2</t>
  </si>
  <si>
    <t>29888</t>
  </si>
  <si>
    <t>刀片</t>
  </si>
  <si>
    <t>35330</t>
  </si>
  <si>
    <t>温湿度计</t>
  </si>
  <si>
    <t>华盛昌</t>
  </si>
  <si>
    <t xml:space="preserve">0 - 100%RH, -40 - 70 degree Celsius </t>
  </si>
  <si>
    <t xml:space="preserve">0.1%RH, 0.1 degree Celsius </t>
  </si>
  <si>
    <t>2602057419</t>
  </si>
  <si>
    <t>铅锤</t>
  </si>
  <si>
    <t>21475</t>
  </si>
  <si>
    <t>20362</t>
  </si>
  <si>
    <t>丝锥扳手</t>
  </si>
  <si>
    <t>3/8-16, 1/2-13, 5/8-11, 1/4-20, 5/16-18, 7/16-14</t>
  </si>
  <si>
    <t>33936</t>
  </si>
  <si>
    <t>剪线钳</t>
  </si>
  <si>
    <t>20382</t>
  </si>
  <si>
    <t>锁紧钳</t>
  </si>
  <si>
    <t>20410</t>
  </si>
  <si>
    <t>钢锯</t>
  </si>
  <si>
    <t>29884</t>
  </si>
  <si>
    <t>铁皮剪刀</t>
  </si>
  <si>
    <t>27500</t>
  </si>
  <si>
    <t>活动扳手</t>
  </si>
  <si>
    <t>Stanley</t>
  </si>
  <si>
    <t>20385</t>
  </si>
  <si>
    <t>20386</t>
  </si>
  <si>
    <t>27885</t>
  </si>
  <si>
    <t>内六角扳手</t>
  </si>
  <si>
    <t>20411</t>
  </si>
  <si>
    <t>20412</t>
  </si>
  <si>
    <t>20413</t>
  </si>
  <si>
    <t>20414</t>
  </si>
  <si>
    <t>20415</t>
  </si>
  <si>
    <t>20416</t>
  </si>
  <si>
    <t>加长套筒</t>
  </si>
  <si>
    <t>35294</t>
  </si>
  <si>
    <t>35296</t>
  </si>
  <si>
    <t>35297</t>
  </si>
  <si>
    <t>35299</t>
  </si>
  <si>
    <t>水平尺</t>
  </si>
  <si>
    <t>31003</t>
  </si>
  <si>
    <t>20397</t>
  </si>
  <si>
    <t>29499</t>
  </si>
  <si>
    <t>35309</t>
  </si>
  <si>
    <t>卷尺</t>
  </si>
  <si>
    <t>卷尺布尺</t>
  </si>
  <si>
    <t>2911</t>
  </si>
  <si>
    <t>35326</t>
  </si>
  <si>
    <t>镊子</t>
  </si>
  <si>
    <t>拓伏锐</t>
  </si>
  <si>
    <t>20358</t>
  </si>
  <si>
    <t>21717</t>
  </si>
  <si>
    <t>20360</t>
  </si>
  <si>
    <t>丝锥</t>
  </si>
  <si>
    <t>希通</t>
  </si>
  <si>
    <t>3/4-10</t>
  </si>
  <si>
    <t>1/2-6</t>
  </si>
  <si>
    <t>1-8</t>
  </si>
  <si>
    <t>延长套筒</t>
  </si>
  <si>
    <t>20365</t>
  </si>
  <si>
    <t xml:space="preserve">3/4, 400mm long </t>
  </si>
  <si>
    <t>31002</t>
  </si>
  <si>
    <t>圆头锤</t>
  </si>
  <si>
    <t>31000</t>
  </si>
  <si>
    <t>31001</t>
  </si>
  <si>
    <t>35311</t>
  </si>
  <si>
    <t>偏口钳</t>
  </si>
  <si>
    <t>老虎钳</t>
  </si>
  <si>
    <t>1/2驱动，235mm</t>
  </si>
  <si>
    <t>31007</t>
  </si>
  <si>
    <t>31008</t>
  </si>
  <si>
    <t>31016</t>
  </si>
  <si>
    <t>31021</t>
  </si>
  <si>
    <t>尖嘴钳</t>
  </si>
  <si>
    <t>延长杆</t>
  </si>
  <si>
    <t>1/2驱动，250mm</t>
  </si>
  <si>
    <t>20396</t>
  </si>
  <si>
    <t>千分尺</t>
  </si>
  <si>
    <t>Mitutoyo</t>
  </si>
  <si>
    <t>20387</t>
  </si>
  <si>
    <t>76406776</t>
  </si>
  <si>
    <t>游标卡尺</t>
  </si>
  <si>
    <t>0-1"</t>
  </si>
  <si>
    <t>76406784</t>
  </si>
  <si>
    <t>A25009812</t>
  </si>
  <si>
    <t>77267397</t>
  </si>
  <si>
    <t>A25009811</t>
  </si>
  <si>
    <t>B25016079</t>
  </si>
  <si>
    <t>Tool Cart 01 Rack 1</t>
  </si>
  <si>
    <t>27514</t>
  </si>
  <si>
    <t>热风枪</t>
  </si>
  <si>
    <t>GHG20-63</t>
  </si>
  <si>
    <t>21473</t>
  </si>
  <si>
    <t>21474</t>
  </si>
  <si>
    <t>33931</t>
  </si>
  <si>
    <t>套筒转接头</t>
  </si>
  <si>
    <t>板牙</t>
  </si>
  <si>
    <t>角度尺</t>
  </si>
  <si>
    <t>3/4-16</t>
  </si>
  <si>
    <t>藤野井</t>
  </si>
  <si>
    <t>22605</t>
  </si>
  <si>
    <t>22607</t>
  </si>
  <si>
    <t>35314</t>
  </si>
  <si>
    <t>35317</t>
  </si>
  <si>
    <t>20409</t>
  </si>
  <si>
    <t>35293</t>
  </si>
  <si>
    <t>万向套筒</t>
  </si>
  <si>
    <t>锯条</t>
  </si>
  <si>
    <t>棘轮转接头</t>
  </si>
  <si>
    <t>88-558</t>
  </si>
  <si>
    <t>1/2驱动，5/8内六角头</t>
  </si>
  <si>
    <t>13912/12912/11912</t>
  </si>
  <si>
    <t>93407*10/S1122BF*5</t>
  </si>
  <si>
    <t>11913</t>
  </si>
  <si>
    <t>加力克</t>
  </si>
  <si>
    <t>22604</t>
  </si>
  <si>
    <t>31316</t>
  </si>
  <si>
    <t>31317</t>
  </si>
  <si>
    <t>21472</t>
  </si>
  <si>
    <t>梅花套筒</t>
  </si>
  <si>
    <t>内六角套筒</t>
  </si>
  <si>
    <t>3/4驱动1-1/8</t>
  </si>
  <si>
    <t>12角1/4驱动1/4套筒</t>
  </si>
  <si>
    <t>12角1/4驱动5/16套筒</t>
  </si>
  <si>
    <t>1/2驱动14mm头</t>
  </si>
  <si>
    <t>20369</t>
  </si>
  <si>
    <t>套筒</t>
  </si>
  <si>
    <t>12角套筒1驱动2</t>
  </si>
  <si>
    <t>35338</t>
  </si>
  <si>
    <t>6-19mm</t>
  </si>
  <si>
    <t>Greenner</t>
  </si>
  <si>
    <t>35308</t>
  </si>
  <si>
    <t>35306</t>
  </si>
  <si>
    <t>3/8驱动10mm，180mm long</t>
  </si>
  <si>
    <t>12914</t>
  </si>
  <si>
    <t>31249</t>
  </si>
  <si>
    <t>大小内六角筒</t>
  </si>
  <si>
    <t>3/8驱动4/5/6/7/8/9/10mm；1/2驱动12/14/17mm</t>
  </si>
  <si>
    <t>35312</t>
  </si>
  <si>
    <t>棘轮套筒扳手组件</t>
  </si>
  <si>
    <t>公英制12角，1/4驱动3/16 - 9/16"；4-15mm</t>
  </si>
  <si>
    <t>35302</t>
  </si>
  <si>
    <t>棘轮开口扳手</t>
  </si>
  <si>
    <t>1/4, 5/16, 3/8, 7/16, 1/2, 9/16, 5/8, 11/16, 3/4</t>
  </si>
  <si>
    <t>33003</t>
  </si>
  <si>
    <t>扳手</t>
  </si>
  <si>
    <t>33002</t>
  </si>
  <si>
    <t>33910</t>
  </si>
  <si>
    <t>丝锥板牙套装</t>
  </si>
  <si>
    <t>110件套</t>
  </si>
  <si>
    <t>40432</t>
  </si>
  <si>
    <t>跳线插头</t>
  </si>
  <si>
    <t>32096</t>
  </si>
  <si>
    <t>ACP拉杆安装</t>
  </si>
  <si>
    <t>37222</t>
  </si>
  <si>
    <t>ACP耦合器销移除工具</t>
  </si>
  <si>
    <t>31846</t>
  </si>
  <si>
    <t>解耦销定位工具</t>
  </si>
  <si>
    <t>41221</t>
  </si>
  <si>
    <t>活塞</t>
  </si>
  <si>
    <t>31761</t>
  </si>
  <si>
    <t>适配器 ACP 主动轴</t>
  </si>
  <si>
    <t>37314</t>
  </si>
  <si>
    <t>ACP拉杆拆除</t>
  </si>
  <si>
    <t>20389</t>
  </si>
  <si>
    <t>螺丝刀</t>
  </si>
  <si>
    <t>42991</t>
  </si>
  <si>
    <t>27886</t>
  </si>
  <si>
    <t>29859</t>
  </si>
  <si>
    <t>世达09113</t>
  </si>
  <si>
    <t>世达09106</t>
  </si>
  <si>
    <t>20424</t>
  </si>
  <si>
    <t>剥线钳</t>
  </si>
  <si>
    <t>FSA-0626B</t>
  </si>
  <si>
    <t>20423</t>
  </si>
  <si>
    <t>FSA-0626</t>
  </si>
  <si>
    <t>20399</t>
  </si>
  <si>
    <t>伸缩镜子</t>
  </si>
  <si>
    <t>25*51mm</t>
  </si>
  <si>
    <t>38226</t>
  </si>
  <si>
    <t>J4905BD</t>
  </si>
  <si>
    <t>11605</t>
  </si>
  <si>
    <t>压线钳</t>
  </si>
  <si>
    <t>2361497-1</t>
  </si>
  <si>
    <t>20383</t>
  </si>
  <si>
    <t>铁锤</t>
  </si>
  <si>
    <t>20384</t>
  </si>
  <si>
    <t>橡胶锤</t>
  </si>
  <si>
    <t>30998</t>
  </si>
  <si>
    <t>撬棍</t>
  </si>
  <si>
    <t>Tool Cart 02 Rack 2</t>
  </si>
  <si>
    <t>Tool Cart 02 Rack 3</t>
  </si>
  <si>
    <t>Tool Cart 02 Rack 1</t>
  </si>
  <si>
    <t>Not Eligible</t>
  </si>
  <si>
    <t>11662</t>
  </si>
  <si>
    <t>31319</t>
  </si>
  <si>
    <t>重型活动扳手</t>
  </si>
  <si>
    <t>3/4"</t>
  </si>
  <si>
    <t>33926</t>
  </si>
  <si>
    <t>凿子套装</t>
  </si>
  <si>
    <t>7pcs</t>
  </si>
  <si>
    <t>35332</t>
  </si>
  <si>
    <t>长十字螺丝刀</t>
  </si>
  <si>
    <t>20"</t>
  </si>
  <si>
    <t>35333</t>
  </si>
  <si>
    <t>长一字螺丝刀</t>
  </si>
  <si>
    <t>20371</t>
  </si>
  <si>
    <t>锥形高颈扳手</t>
  </si>
  <si>
    <t>31252</t>
  </si>
  <si>
    <t>18"</t>
  </si>
  <si>
    <t>21471</t>
  </si>
  <si>
    <t>钻头</t>
  </si>
  <si>
    <t>1/2"</t>
  </si>
  <si>
    <t>38225</t>
  </si>
  <si>
    <t>31194</t>
  </si>
  <si>
    <t>大弹簧夹</t>
  </si>
  <si>
    <t>20421</t>
  </si>
  <si>
    <t>英制冲子套装</t>
  </si>
  <si>
    <t>31014</t>
  </si>
  <si>
    <t>十字螺丝刀无磁</t>
  </si>
  <si>
    <t>1"*75mm</t>
  </si>
  <si>
    <t>20406</t>
  </si>
  <si>
    <t>T型丝攻扳手</t>
  </si>
  <si>
    <t>1/4"-12</t>
  </si>
  <si>
    <t>31019</t>
  </si>
  <si>
    <t>无磁套筒</t>
  </si>
  <si>
    <t>31023</t>
  </si>
  <si>
    <t>双开口扳手</t>
  </si>
  <si>
    <t>5/8-9/16"</t>
  </si>
  <si>
    <t>20392</t>
  </si>
  <si>
    <t>金属刷</t>
  </si>
  <si>
    <t>31018</t>
  </si>
  <si>
    <t>5/8"</t>
  </si>
  <si>
    <t>30999</t>
  </si>
  <si>
    <t>无磁内六角扳手</t>
  </si>
  <si>
    <t>21477</t>
  </si>
  <si>
    <t>阶梯钻头</t>
  </si>
  <si>
    <t>1/8-1/2</t>
  </si>
  <si>
    <t>31022</t>
  </si>
  <si>
    <t>无磁棘轮扳手</t>
  </si>
  <si>
    <t>1/2</t>
  </si>
  <si>
    <t>31006</t>
  </si>
  <si>
    <t>一字螺丝刀无磁</t>
  </si>
  <si>
    <t>6*100mm</t>
  </si>
  <si>
    <t>31015</t>
  </si>
  <si>
    <t>2*125mm</t>
  </si>
  <si>
    <t>31013</t>
  </si>
  <si>
    <t>8*200mm</t>
  </si>
  <si>
    <t>20419</t>
  </si>
  <si>
    <t>布链条扳手</t>
  </si>
  <si>
    <t>35864</t>
  </si>
  <si>
    <t>螺纹锁固胶</t>
  </si>
  <si>
    <t>*4, validated until Jun 2030</t>
  </si>
  <si>
    <t>31253</t>
  </si>
  <si>
    <t>小棘轮扳手套装</t>
  </si>
  <si>
    <t>46386</t>
  </si>
  <si>
    <t>46383</t>
  </si>
  <si>
    <t>3/8M万向3/8F</t>
  </si>
  <si>
    <t>46384</t>
  </si>
  <si>
    <t>1/2M万向1/2F</t>
  </si>
  <si>
    <t>46385</t>
  </si>
  <si>
    <t>3/8F转1/2M</t>
  </si>
  <si>
    <t>3/8M转1/2F</t>
  </si>
  <si>
    <t>46387</t>
  </si>
  <si>
    <t>3/4M转1/2F</t>
  </si>
  <si>
    <t>46388</t>
  </si>
  <si>
    <t>1/2M转3/4F</t>
  </si>
  <si>
    <t>20404</t>
  </si>
  <si>
    <t>多功能角度尺</t>
  </si>
  <si>
    <t>0-180 degree</t>
  </si>
  <si>
    <t>22228</t>
  </si>
  <si>
    <t>表盘磁铁托架</t>
  </si>
  <si>
    <t>60kg</t>
  </si>
  <si>
    <t>20403</t>
  </si>
  <si>
    <t>螺丝刀套装</t>
  </si>
  <si>
    <t>20357</t>
  </si>
  <si>
    <t>撞击适配器</t>
  </si>
  <si>
    <t>1/8-1/2"</t>
  </si>
  <si>
    <t>Chemistry Cabinet</t>
  </si>
  <si>
    <t>Temperature Tool</t>
  </si>
  <si>
    <t>20363</t>
  </si>
  <si>
    <t>Crimping Tool</t>
  </si>
  <si>
    <t>Electrical Tool</t>
  </si>
  <si>
    <t>Hand Tool</t>
  </si>
  <si>
    <t>Testing Testing</t>
  </si>
  <si>
    <t>Others</t>
  </si>
  <si>
    <t>*8</t>
  </si>
  <si>
    <t>22002</t>
  </si>
  <si>
    <t>3/8F-1/2M</t>
  </si>
  <si>
    <t>Fluke</t>
  </si>
  <si>
    <t>11653</t>
  </si>
  <si>
    <t>24-22</t>
  </si>
  <si>
    <t>13509</t>
  </si>
  <si>
    <t>金属压线钳</t>
  </si>
  <si>
    <t>22-10</t>
  </si>
  <si>
    <t>21480</t>
  </si>
  <si>
    <t>电缆牵引器</t>
  </si>
  <si>
    <t xml:space="preserve">50' </t>
  </si>
  <si>
    <t>14733</t>
  </si>
  <si>
    <t>For #6 and #8 ring terminals</t>
  </si>
  <si>
    <t>18463</t>
  </si>
  <si>
    <t>micro-fit</t>
  </si>
  <si>
    <t>Molex</t>
  </si>
  <si>
    <t>14810</t>
  </si>
  <si>
    <t>绝缘压线钳</t>
  </si>
  <si>
    <t>Sta-Kon</t>
  </si>
  <si>
    <t>19254</t>
  </si>
  <si>
    <t>手动压线钳</t>
  </si>
  <si>
    <t>24287</t>
  </si>
  <si>
    <t>连接器</t>
  </si>
  <si>
    <t>35234</t>
  </si>
  <si>
    <t>11603</t>
  </si>
  <si>
    <t>13535</t>
  </si>
  <si>
    <t>11600</t>
  </si>
  <si>
    <t>11604</t>
  </si>
  <si>
    <t>28428</t>
  </si>
  <si>
    <t>13522</t>
  </si>
  <si>
    <t>12838</t>
  </si>
  <si>
    <t>11601</t>
  </si>
  <si>
    <t>24860</t>
  </si>
  <si>
    <t>11664</t>
  </si>
  <si>
    <t>11648</t>
  </si>
  <si>
    <t>13518</t>
  </si>
  <si>
    <t>11596</t>
  </si>
  <si>
    <t>37612</t>
  </si>
  <si>
    <t>11665</t>
  </si>
  <si>
    <t>13520</t>
  </si>
  <si>
    <t>35708</t>
  </si>
  <si>
    <t>13526</t>
  </si>
  <si>
    <t>13523</t>
  </si>
  <si>
    <t>11661</t>
  </si>
  <si>
    <t>11597</t>
  </si>
  <si>
    <t>12837</t>
  </si>
  <si>
    <t>13524</t>
  </si>
  <si>
    <t>12839</t>
  </si>
  <si>
    <t>11657</t>
  </si>
  <si>
    <t>11649</t>
  </si>
  <si>
    <t>12840</t>
  </si>
  <si>
    <t>35315</t>
  </si>
  <si>
    <t>11599</t>
  </si>
  <si>
    <t>11660</t>
  </si>
  <si>
    <t>18917</t>
  </si>
  <si>
    <t>33270</t>
  </si>
  <si>
    <t>13519</t>
  </si>
  <si>
    <t>13527</t>
  </si>
  <si>
    <t>24288</t>
  </si>
  <si>
    <t>11544</t>
  </si>
  <si>
    <t>37028</t>
  </si>
  <si>
    <t>37029</t>
  </si>
  <si>
    <t>11663</t>
  </si>
  <si>
    <t>34914</t>
  </si>
  <si>
    <t>43383</t>
  </si>
  <si>
    <t>24843</t>
  </si>
  <si>
    <t>11602</t>
  </si>
  <si>
    <t>19253</t>
  </si>
  <si>
    <t>11656</t>
  </si>
  <si>
    <t>37221</t>
  </si>
  <si>
    <t>11651</t>
  </si>
  <si>
    <t>11655</t>
  </si>
  <si>
    <t>10904</t>
  </si>
  <si>
    <t>11652</t>
  </si>
  <si>
    <t>25286</t>
  </si>
  <si>
    <t>11654</t>
  </si>
  <si>
    <t>18918</t>
  </si>
  <si>
    <t>29817</t>
  </si>
  <si>
    <t>35316</t>
  </si>
  <si>
    <t>18461</t>
  </si>
  <si>
    <t>Tool Box</t>
  </si>
  <si>
    <t>扣环钳</t>
  </si>
  <si>
    <t>F20-24</t>
  </si>
  <si>
    <t>连接提取</t>
  </si>
  <si>
    <t>25pin, size 3</t>
  </si>
  <si>
    <t>插入提取工具</t>
  </si>
  <si>
    <t>终端</t>
  </si>
  <si>
    <t>M24-22</t>
  </si>
  <si>
    <t>10POS, F</t>
  </si>
  <si>
    <t>37pin</t>
  </si>
  <si>
    <t>35pin</t>
  </si>
  <si>
    <t>F24-28</t>
  </si>
  <si>
    <t>联系插入</t>
  </si>
  <si>
    <t>.09 MAX</t>
  </si>
  <si>
    <t>M20-24</t>
  </si>
  <si>
    <t>2POS, F</t>
  </si>
  <si>
    <t>9pin</t>
  </si>
  <si>
    <t>4POS</t>
  </si>
  <si>
    <t>提取器</t>
  </si>
  <si>
    <t>4pin, M</t>
  </si>
  <si>
    <t>4 SOCKETS, F</t>
  </si>
  <si>
    <t>2POS, M</t>
  </si>
  <si>
    <t>18-14</t>
  </si>
  <si>
    <t>15pin</t>
  </si>
  <si>
    <t>37pin, size 4</t>
  </si>
  <si>
    <t>3POS, M</t>
  </si>
  <si>
    <t>50POS, size 5</t>
  </si>
  <si>
    <t>连接插座</t>
  </si>
  <si>
    <t>18-16</t>
  </si>
  <si>
    <t>20-24</t>
  </si>
  <si>
    <t>6POS</t>
  </si>
  <si>
    <t>15POS, size 2</t>
  </si>
  <si>
    <t>14POS, F</t>
  </si>
  <si>
    <t>3POS, F</t>
  </si>
  <si>
    <t>10POS, M</t>
  </si>
  <si>
    <t>9POS, size 1</t>
  </si>
  <si>
    <t>4POS, M</t>
  </si>
  <si>
    <t>M18-24</t>
  </si>
  <si>
    <t>LESS THAN .07</t>
  </si>
  <si>
    <t>6POS, M</t>
  </si>
  <si>
    <t>M24-28</t>
  </si>
  <si>
    <t>接头端子</t>
  </si>
  <si>
    <t>22-24</t>
  </si>
  <si>
    <t>针脚</t>
  </si>
  <si>
    <t>M18-22</t>
  </si>
  <si>
    <t>F24-30</t>
  </si>
  <si>
    <t>F26-30</t>
  </si>
  <si>
    <t>M20-24, insul .030-.076</t>
  </si>
  <si>
    <t>18-14, insul .11-.15</t>
  </si>
  <si>
    <t>26-25, insul .035-.055</t>
  </si>
  <si>
    <t>20-24, insul .04-.08</t>
  </si>
  <si>
    <t>24-20, insul .08-.10</t>
  </si>
  <si>
    <t>24-20, insul .06-.12</t>
  </si>
  <si>
    <t>11650</t>
  </si>
  <si>
    <t>24-20, insul .04-.08</t>
  </si>
  <si>
    <t>14677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</si>
</sst>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[$-409]d\-mmm\-yyyy;@"/>
  </numFmts>
  <fonts count="8">
    <font>
      <sz val="11"/>
      <color theme="1"/>
      <name val="Calibri"/>
      <family val="2"/>
      <scheme val="minor"/>
    </font>
    <font>
      <b/>
      <sz val="16"/>
      <color rgb="FFFFFFFF"/>
      <name val="Microsoft YaHei"/>
    </font>
    <font>
      <sz val="9"/>
      <color rgb="FF666666"/>
      <name val="Microsoft YaHei"/>
    </font>
    <font>
      <b/>
      <sz val="10"/>
      <color rgb="FFFFFFFF"/>
      <name val="Microsoft YaHei"/>
    </font>
    <font>
      <sz val="10"/>
      <name val="Microsoft YaHei"/>
    </font>
    <font>
      <b/>
      <sz val="11"/>
      <name val="Microsoft YaHei"/>
    </font>
    <font>
      <sz val="9"/>
      <name val="Microsoft YaHei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2F5496"/>
        <bgColor rgb="FF2F5496"/>
      </patternFill>
    </fill>
    <fill>
      <patternFill patternType="solid">
        <fgColor rgb="FF4472C4"/>
        <bgColor rgb="FF4472C4"/>
      </patternFill>
    </fill>
    <fill>
      <patternFill patternType="solid">
        <fgColor rgb="FFF2F7FB"/>
        <bgColor rgb="FFF2F7FB"/>
      </patternFill>
    </fill>
    <fill>
      <patternFill patternType="solid">
        <fgColor rgb="FF92D050"/>
        <bgColor rgb="FF92D050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rgb="FF5B9BD5"/>
        <bgColor rgb="FF5B9BD5"/>
      </patternFill>
    </fill>
    <fill>
      <patternFill patternType="solid">
        <fgColor rgb="FFF4B084"/>
        <bgColor rgb="FFF4B08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2F7FB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2" fillId="0" borderId="0" xfId="0" applyFont="1" applyAlignment="1">
      <alignment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5" fillId="0" borderId="0" xfId="0" applyFont="1"/>
    <xf numFmtId="0" fontId="3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4" fontId="4" fillId="6" borderId="1" xfId="0" applyNumberFormat="1" applyFont="1" applyFill="1" applyBorder="1" applyAlignment="1">
      <alignment horizontal="center" vertical="center"/>
    </xf>
    <xf numFmtId="164" fontId="4" fillId="7" borderId="1" xfId="0" applyNumberFormat="1" applyFont="1" applyFill="1" applyBorder="1" applyAlignment="1">
      <alignment horizontal="center" vertical="center"/>
    </xf>
    <xf numFmtId="164" fontId="4" fillId="8" borderId="1" xfId="0" applyNumberFormat="1" applyFont="1" applyFill="1" applyBorder="1" applyAlignment="1">
      <alignment horizontal="center" vertical="center"/>
    </xf>
    <xf numFmtId="164" fontId="4" fillId="9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0" fillId="0" borderId="1" xfId="0" applyBorder="1"/>
    <xf numFmtId="0" fontId="6" fillId="0" borderId="0" xfId="0" applyFont="1"/>
    <xf numFmtId="49" fontId="0" fillId="0" borderId="0" xfId="0" applyNumberFormat="1"/>
    <xf numFmtId="49" fontId="3" fillId="3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center"/>
    </xf>
    <xf numFmtId="165" fontId="3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vertical="center" wrapText="1"/>
    </xf>
    <xf numFmtId="49" fontId="0" fillId="0" borderId="0" xfId="0" applyNumberFormat="1" applyAlignment="1">
      <alignment wrapText="1"/>
    </xf>
    <xf numFmtId="165" fontId="0" fillId="0" borderId="0" xfId="0" applyNumberFormat="1" applyAlignment="1">
      <alignment wrapText="1"/>
    </xf>
    <xf numFmtId="165" fontId="2" fillId="0" borderId="0" xfId="0" applyNumberFormat="1" applyFont="1" applyAlignment="1">
      <alignment vertical="center" wrapText="1"/>
    </xf>
    <xf numFmtId="0" fontId="4" fillId="0" borderId="0" xfId="0" applyFont="1"/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wrapText="1"/>
    </xf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vertical="center" wrapText="1"/>
    </xf>
    <xf numFmtId="0" fontId="4" fillId="4" borderId="3" xfId="0" applyFont="1" applyFill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49" fontId="4" fillId="0" borderId="1" xfId="0" applyNumberFormat="1" applyFont="1" applyBorder="1" applyAlignment="1">
      <alignment vertical="center" wrapText="1"/>
    </xf>
    <xf numFmtId="165" fontId="4" fillId="0" borderId="1" xfId="0" applyNumberFormat="1" applyFont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 wrapText="1"/>
    </xf>
    <xf numFmtId="0" fontId="4" fillId="4" borderId="1" xfId="0" applyFont="1" applyFill="1" applyBorder="1" applyAlignment="1">
      <alignment vertical="center" wrapText="1"/>
    </xf>
    <xf numFmtId="0" fontId="4" fillId="4" borderId="1" xfId="0" applyFont="1" applyFill="1" applyBorder="1" applyAlignment="1">
      <alignment vertical="center"/>
    </xf>
    <xf numFmtId="165" fontId="4" fillId="4" borderId="1" xfId="0" applyNumberFormat="1" applyFont="1" applyFill="1" applyBorder="1" applyAlignment="1">
      <alignment vertical="center" wrapText="1"/>
    </xf>
    <xf numFmtId="49" fontId="4" fillId="0" borderId="2" xfId="0" applyNumberFormat="1" applyFont="1" applyBorder="1" applyAlignment="1">
      <alignment vertical="center" wrapText="1"/>
    </xf>
    <xf numFmtId="49" fontId="4" fillId="4" borderId="2" xfId="0" applyNumberFormat="1" applyFont="1" applyFill="1" applyBorder="1" applyAlignment="1">
      <alignment vertical="center" wrapText="1"/>
    </xf>
    <xf numFmtId="49" fontId="4" fillId="10" borderId="1" xfId="0" applyNumberFormat="1" applyFont="1" applyFill="1" applyBorder="1" applyAlignment="1">
      <alignment vertical="center" wrapText="1"/>
    </xf>
    <xf numFmtId="49" fontId="4" fillId="11" borderId="1" xfId="0" applyNumberFormat="1" applyFont="1" applyFill="1" applyBorder="1" applyAlignment="1">
      <alignment vertical="center" wrapText="1"/>
    </xf>
    <xf numFmtId="49" fontId="4" fillId="10" borderId="2" xfId="0" applyNumberFormat="1" applyFont="1" applyFill="1" applyBorder="1" applyAlignment="1">
      <alignment vertical="center" wrapText="1"/>
    </xf>
    <xf numFmtId="49" fontId="4" fillId="11" borderId="2" xfId="0" applyNumberFormat="1" applyFont="1" applyFill="1" applyBorder="1" applyAlignment="1">
      <alignment vertical="center" wrapText="1"/>
    </xf>
    <xf numFmtId="0" fontId="4" fillId="0" borderId="2" xfId="0" applyFont="1" applyBorder="1" applyAlignment="1">
      <alignment vertical="center"/>
    </xf>
    <xf numFmtId="0" fontId="0" fillId="0" borderId="1" xfId="0" applyBorder="1" applyAlignment="1">
      <alignment wrapText="1"/>
    </xf>
    <xf numFmtId="0" fontId="1" fillId="2" borderId="0" xfId="0" applyFont="1" applyFill="1" applyAlignment="1">
      <alignment vertical="center" wrapText="1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/>
    <xf numFmtId="165" fontId="0" fillId="0" borderId="0" xfId="0" applyNumberFormat="1" applyAlignment="1">
      <alignment wrapText="1"/>
    </xf>
    <xf numFmtId="49" fontId="4" fillId="0" borderId="2" xfId="0" applyNumberFormat="1" applyFont="1" applyBorder="1" applyAlignment="1">
      <alignment vertical="center" wrapText="1"/>
    </xf>
    <xf numFmtId="49" fontId="4" fillId="0" borderId="3" xfId="0" applyNumberFormat="1" applyFont="1" applyBorder="1" applyAlignment="1">
      <alignment vertical="center" wrapText="1"/>
    </xf>
    <xf numFmtId="49" fontId="4" fillId="0" borderId="4" xfId="0" applyNumberFormat="1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49" fontId="4" fillId="4" borderId="2" xfId="0" applyNumberFormat="1" applyFont="1" applyFill="1" applyBorder="1" applyAlignment="1">
      <alignment vertical="center" wrapText="1"/>
    </xf>
    <xf numFmtId="49" fontId="4" fillId="4" borderId="3" xfId="0" applyNumberFormat="1" applyFont="1" applyFill="1" applyBorder="1" applyAlignment="1">
      <alignment vertical="center" wrapText="1"/>
    </xf>
    <xf numFmtId="49" fontId="4" fillId="4" borderId="4" xfId="0" applyNumberFormat="1" applyFont="1" applyFill="1" applyBorder="1" applyAlignment="1">
      <alignment vertical="center" wrapText="1"/>
    </xf>
    <xf numFmtId="0" fontId="4" fillId="4" borderId="2" xfId="0" applyFont="1" applyFill="1" applyBorder="1" applyAlignment="1">
      <alignment vertical="center" wrapText="1"/>
    </xf>
    <xf numFmtId="0" fontId="4" fillId="4" borderId="4" xfId="0" applyFont="1" applyFill="1" applyBorder="1" applyAlignment="1">
      <alignment vertical="center" wrapText="1"/>
    </xf>
    <xf numFmtId="0" fontId="4" fillId="4" borderId="3" xfId="0" applyFont="1" applyFill="1" applyBorder="1" applyAlignment="1">
      <alignment vertical="center" wrapText="1"/>
    </xf>
    <xf numFmtId="0" fontId="4" fillId="0" borderId="2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0" fontId="0" fillId="0" borderId="1" xfId="0" applyBorder="1" applyAlignment="1">
      <alignment wrapText="1"/>
    </xf>
    <xf numFmtId="0" fontId="4" fillId="4" borderId="2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left" vertical="center" wrapText="1"/>
    </xf>
    <xf numFmtId="49" fontId="4" fillId="0" borderId="2" xfId="0" applyNumberFormat="1" applyFont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center" vertical="center" wrapText="1"/>
    </xf>
    <xf numFmtId="49" fontId="4" fillId="0" borderId="4" xfId="0" applyNumberFormat="1" applyFont="1" applyBorder="1" applyAlignment="1">
      <alignment horizontal="center" vertical="center" wrapText="1"/>
    </xf>
    <xf numFmtId="49" fontId="4" fillId="4" borderId="2" xfId="0" applyNumberFormat="1" applyFont="1" applyFill="1" applyBorder="1" applyAlignment="1">
      <alignment horizontal="center" vertical="center" wrapText="1"/>
    </xf>
    <xf numFmtId="49" fontId="4" fillId="4" borderId="3" xfId="0" applyNumberFormat="1" applyFont="1" applyFill="1" applyBorder="1" applyAlignment="1">
      <alignment horizontal="center" vertical="center" wrapText="1"/>
    </xf>
    <xf numFmtId="49" fontId="4" fillId="4" borderId="4" xfId="0" applyNumberFormat="1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15">
    <dxf>
      <fill>
        <patternFill patternType="solid">
          <fgColor rgb="FFF4B084"/>
          <bgColor rgb="FFF4B084"/>
        </patternFill>
      </fill>
    </dxf>
    <dxf>
      <fill>
        <patternFill patternType="solid">
          <fgColor rgb="FF5B9BD5"/>
          <bgColor rgb="FF5B9BD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C7CE"/>
          <bgColor rgb="FFFFC7CE"/>
        </patternFill>
      </fill>
    </dxf>
    <dxf>
      <font>
        <sz val="10"/>
        <color rgb="FFFFFFFF"/>
        <name val="Microsoft YaHei"/>
      </font>
      <fill>
        <patternFill patternType="solid">
          <fgColor rgb="FFFF0000"/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0"/>
        </patternFill>
      </fill>
    </dxf>
    <dxf>
      <fill>
        <patternFill patternType="solid">
          <fgColor rgb="FFF4B084"/>
          <bgColor rgb="FFF4B084"/>
        </patternFill>
      </fill>
    </dxf>
    <dxf>
      <fill>
        <patternFill patternType="solid">
          <fgColor rgb="FF5B9BD5"/>
          <bgColor rgb="FF5B9BD5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92D050"/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3"/>
  <sheetViews>
    <sheetView tabSelected="1" zoomScaleNormal="100" workbookViewId="0">
      <pane xSplit="3" ySplit="3" topLeftCell="K4" activePane="bottomRight" state="frozen"/>
      <selection pane="topRight" activeCell="D1" sqref="D1"/>
      <selection pane="bottomLeft" activeCell="A4" sqref="A4"/>
      <selection pane="bottomRight" activeCell="M5" sqref="M5"/>
    </sheetView>
  </sheetViews>
  <sheetFormatPr defaultColWidth="8.7265625" defaultRowHeight="14.5"/>
  <cols>
    <col min="1" max="1" width="6" style="25" customWidth="1"/>
    <col min="2" max="2" width="14" style="27" customWidth="1"/>
    <col min="3" max="3" width="19.08984375" style="25" bestFit="1" customWidth="1"/>
    <col min="4" max="4" width="16.36328125" style="25" customWidth="1"/>
    <col min="5" max="5" width="22" style="27" customWidth="1"/>
    <col min="6" max="6" width="18" style="27" customWidth="1"/>
    <col min="7" max="7" width="13.7265625" style="27" bestFit="1" customWidth="1"/>
    <col min="8" max="8" width="22" customWidth="1"/>
    <col min="9" max="9" width="18" style="25" customWidth="1"/>
    <col min="10" max="11" width="14" style="25" customWidth="1"/>
    <col min="12" max="12" width="14.453125" style="28" customWidth="1"/>
    <col min="13" max="13" width="15.453125" style="28" customWidth="1"/>
    <col min="14" max="14" width="22.81640625" style="25" bestFit="1" customWidth="1"/>
    <col min="15" max="15" width="24" customWidth="1"/>
    <col min="16" max="16" width="20" style="25" customWidth="1"/>
    <col min="17" max="18" width="14" style="25" customWidth="1"/>
    <col min="19" max="19" width="8.7265625" style="25" customWidth="1"/>
    <col min="20" max="16384" width="8.7265625" style="25"/>
  </cols>
  <sheetData>
    <row r="1" spans="1:18" ht="22" customHeight="1">
      <c r="A1" s="53" t="s">
        <v>85</v>
      </c>
      <c r="B1" s="54"/>
      <c r="C1" s="55"/>
      <c r="D1" s="55"/>
      <c r="E1" s="54"/>
      <c r="F1" s="54"/>
      <c r="G1" s="55"/>
      <c r="H1" s="56"/>
      <c r="I1" s="55"/>
      <c r="J1" s="55"/>
      <c r="K1" s="55"/>
      <c r="L1" s="57"/>
      <c r="M1" s="57"/>
      <c r="N1" s="55"/>
      <c r="O1" s="56"/>
      <c r="P1" s="55"/>
      <c r="Q1" s="55"/>
    </row>
    <row r="2" spans="1:18">
      <c r="A2" s="26"/>
      <c r="H2" s="1"/>
      <c r="M2" s="29"/>
    </row>
    <row r="3" spans="1:18" s="33" customFormat="1" ht="43.5">
      <c r="A3" s="2" t="s">
        <v>0</v>
      </c>
      <c r="B3" s="21" t="s">
        <v>1</v>
      </c>
      <c r="C3" s="2" t="s">
        <v>2</v>
      </c>
      <c r="D3" s="2" t="s">
        <v>3</v>
      </c>
      <c r="E3" s="21" t="s">
        <v>4</v>
      </c>
      <c r="F3" s="21" t="s">
        <v>5</v>
      </c>
      <c r="G3" s="21" t="s">
        <v>6</v>
      </c>
      <c r="H3" s="9" t="s">
        <v>7</v>
      </c>
      <c r="I3" s="2" t="s">
        <v>8</v>
      </c>
      <c r="J3" s="2" t="s">
        <v>9</v>
      </c>
      <c r="K3" s="2" t="s">
        <v>10</v>
      </c>
      <c r="L3" s="24" t="s">
        <v>11</v>
      </c>
      <c r="M3" s="24" t="s">
        <v>12</v>
      </c>
      <c r="N3" s="2" t="s">
        <v>13</v>
      </c>
      <c r="O3" s="9" t="s">
        <v>14</v>
      </c>
      <c r="P3" s="2" t="s">
        <v>15</v>
      </c>
      <c r="Q3" s="2" t="s">
        <v>16</v>
      </c>
      <c r="R3" s="2" t="s">
        <v>17</v>
      </c>
    </row>
    <row r="4" spans="1:18" ht="29">
      <c r="A4" s="38">
        <f>IF(B4="","",ROW(B4)-3)</f>
        <v>1</v>
      </c>
      <c r="B4" s="39" t="s">
        <v>18</v>
      </c>
      <c r="C4" s="38" t="s">
        <v>19</v>
      </c>
      <c r="D4" s="38" t="s">
        <v>479</v>
      </c>
      <c r="E4" s="39" t="s">
        <v>20</v>
      </c>
      <c r="F4" s="39" t="s">
        <v>21</v>
      </c>
      <c r="G4" s="39" t="s">
        <v>22</v>
      </c>
      <c r="H4" s="10" t="s">
        <v>23</v>
      </c>
      <c r="I4" s="38" t="s">
        <v>24</v>
      </c>
      <c r="J4" s="38"/>
      <c r="K4" s="38">
        <v>12</v>
      </c>
      <c r="L4" s="40">
        <v>46273</v>
      </c>
      <c r="M4" s="40">
        <f>IF(B4="","",IF(K4="Not Eligible","",IFERROR(EDATE(L4,K4),"")))</f>
        <v>46638</v>
      </c>
      <c r="N4" s="38" t="str">
        <f ca="1">IF(M4="","",IF(M4="","",IF(OR(IFERROR(INDEX('Calibration Schedule'!J:J,MATCH(B4,'Calibration Schedule'!C:C,0)),"")="Sent for calibration",IFERROR(INDEX('Calibration Schedule'!J:J,MATCH(B4,'Calibration Schedule'!C:C,0)),"")="Scheduled for calibration"),IFERROR(INDEX('Calibration Schedule'!J:J,MATCH(B4,'Calibration Schedule'!C:C,0)),""),IF(M4&lt;TODAY(),"Expired",IF(M4&lt;=TODAY()+30,"Expiring Soon","Pass")))))</f>
        <v>Pass</v>
      </c>
      <c r="O4" s="10" t="s">
        <v>25</v>
      </c>
      <c r="P4" s="38" t="s">
        <v>26</v>
      </c>
      <c r="Q4" s="38"/>
      <c r="R4" s="52"/>
    </row>
    <row r="5" spans="1:18" ht="27" customHeight="1">
      <c r="A5" s="38">
        <f t="shared" ref="A4:A67" si="0">IF(B5="","",ROW(B5)-3)</f>
        <v>2</v>
      </c>
      <c r="B5" s="41" t="s">
        <v>88</v>
      </c>
      <c r="C5" s="42" t="s">
        <v>89</v>
      </c>
      <c r="D5" s="42" t="s">
        <v>485</v>
      </c>
      <c r="E5" s="41"/>
      <c r="F5" s="41"/>
      <c r="G5" s="41" t="s">
        <v>90</v>
      </c>
      <c r="H5" s="43" t="s">
        <v>91</v>
      </c>
      <c r="I5" s="42" t="s">
        <v>179</v>
      </c>
      <c r="J5" s="42"/>
      <c r="K5" s="42" t="s">
        <v>393</v>
      </c>
      <c r="L5" s="44"/>
      <c r="M5" s="44" t="str">
        <f t="shared" ref="M5:M68" si="1">IF(B5="","",IF(K5="Not Eligible","",IFERROR(EDATE(L5,K5),"")))</f>
        <v/>
      </c>
      <c r="N5" s="44" t="str">
        <f ca="1">IF(M5="","",IF(M5="","",IF(OR(IFERROR(INDEX('Calibration Schedule'!J:J,MATCH(B5,'Calibration Schedule'!C:C,0)),"")="Sent for calibration",IFERROR(INDEX('Calibration Schedule'!J:J,MATCH(B5,'Calibration Schedule'!C:C,0)),"")="Scheduled for calibration"),IFERROR(INDEX('Calibration Schedule'!J:J,MATCH(B5,'Calibration Schedule'!C:C,0)),""),IF(M5&lt;TODAY(),"Expired",IF(M5&lt;=TODAY()+30,"Expiring Soon","Pass")))))</f>
        <v/>
      </c>
      <c r="O5" s="43"/>
      <c r="P5" s="42"/>
      <c r="Q5" s="42"/>
      <c r="R5" s="52"/>
    </row>
    <row r="6" spans="1:18">
      <c r="A6" s="38">
        <f t="shared" si="0"/>
        <v>3</v>
      </c>
      <c r="B6" s="45" t="s">
        <v>480</v>
      </c>
      <c r="C6" s="83" t="s">
        <v>92</v>
      </c>
      <c r="D6" s="38" t="s">
        <v>36</v>
      </c>
      <c r="E6" s="58" t="s">
        <v>93</v>
      </c>
      <c r="F6" s="58" t="s">
        <v>94</v>
      </c>
      <c r="G6" s="39">
        <v>260800012</v>
      </c>
      <c r="H6" s="10"/>
      <c r="I6" s="34" t="s">
        <v>123</v>
      </c>
      <c r="J6" s="38"/>
      <c r="K6" s="38">
        <v>12</v>
      </c>
      <c r="L6" s="40">
        <v>46239</v>
      </c>
      <c r="M6" s="40">
        <f t="shared" si="1"/>
        <v>46604</v>
      </c>
      <c r="N6" s="38" t="str">
        <f ca="1">IF(M6="","",IF(M6="","",IF(OR(IFERROR(INDEX('Calibration Schedule'!J:J,MATCH(B6,'Calibration Schedule'!C:C,0)),"")="Sent for calibration",IFERROR(INDEX('Calibration Schedule'!J:J,MATCH(B6,'Calibration Schedule'!C:C,0)),"")="Scheduled for calibration"),IFERROR(INDEX('Calibration Schedule'!J:J,MATCH(B6,'Calibration Schedule'!C:C,0)),""),IF(M6&lt;TODAY(),"Expired",IF(M6&lt;=TODAY()+30,"Expiring Soon","Pass")))))</f>
        <v>Pass</v>
      </c>
      <c r="O6" s="10"/>
      <c r="P6" s="38"/>
      <c r="Q6" s="38"/>
      <c r="R6" s="73">
        <v>10</v>
      </c>
    </row>
    <row r="7" spans="1:18">
      <c r="A7" s="38">
        <f t="shared" si="0"/>
        <v>4</v>
      </c>
      <c r="B7" s="45" t="s">
        <v>480</v>
      </c>
      <c r="C7" s="84"/>
      <c r="D7" s="42" t="s">
        <v>36</v>
      </c>
      <c r="E7" s="59"/>
      <c r="F7" s="59"/>
      <c r="G7" s="41">
        <v>260800002</v>
      </c>
      <c r="H7" s="43"/>
      <c r="I7" s="34" t="s">
        <v>123</v>
      </c>
      <c r="J7" s="42"/>
      <c r="K7" s="42">
        <v>12</v>
      </c>
      <c r="L7" s="44">
        <v>46239</v>
      </c>
      <c r="M7" s="40">
        <f t="shared" si="1"/>
        <v>46604</v>
      </c>
      <c r="N7" s="38" t="str">
        <f ca="1">IF(M7="","",IF(M7="","",IF(OR(IFERROR(INDEX('Calibration Schedule'!J:J,MATCH(B7,'Calibration Schedule'!C:C,0)),"")="Sent for calibration",IFERROR(INDEX('Calibration Schedule'!J:J,MATCH(B7,'Calibration Schedule'!C:C,0)),"")="Scheduled for calibration"),IFERROR(INDEX('Calibration Schedule'!J:J,MATCH(B7,'Calibration Schedule'!C:C,0)),""),IF(M7&lt;TODAY(),"Expired",IF(M7&lt;=TODAY()+30,"Expiring Soon","Pass")))))</f>
        <v>Pass</v>
      </c>
      <c r="O7" s="43"/>
      <c r="P7" s="42"/>
      <c r="Q7" s="42"/>
      <c r="R7" s="73"/>
    </row>
    <row r="8" spans="1:18">
      <c r="A8" s="38">
        <f t="shared" si="0"/>
        <v>5</v>
      </c>
      <c r="B8" s="45" t="s">
        <v>480</v>
      </c>
      <c r="C8" s="85"/>
      <c r="D8" s="38" t="s">
        <v>36</v>
      </c>
      <c r="E8" s="60"/>
      <c r="F8" s="60"/>
      <c r="G8" s="39">
        <v>260800003</v>
      </c>
      <c r="H8" s="10"/>
      <c r="I8" s="34" t="s">
        <v>123</v>
      </c>
      <c r="J8" s="38"/>
      <c r="K8" s="38">
        <v>12</v>
      </c>
      <c r="L8" s="40">
        <v>46239</v>
      </c>
      <c r="M8" s="40">
        <f t="shared" si="1"/>
        <v>46604</v>
      </c>
      <c r="N8" s="38" t="str">
        <f ca="1">IF(M8="","",IF(M8="","",IF(OR(IFERROR(INDEX('Calibration Schedule'!J:J,MATCH(B8,'Calibration Schedule'!C:C,0)),"")="Sent for calibration",IFERROR(INDEX('Calibration Schedule'!J:J,MATCH(B8,'Calibration Schedule'!C:C,0)),"")="Scheduled for calibration"),IFERROR(INDEX('Calibration Schedule'!J:J,MATCH(B8,'Calibration Schedule'!C:C,0)),""),IF(M8&lt;TODAY(),"Expired",IF(M8&lt;=TODAY()+30,"Expiring Soon","Pass")))))</f>
        <v>Pass</v>
      </c>
      <c r="O8" s="10"/>
      <c r="P8" s="38"/>
      <c r="Q8" s="38"/>
      <c r="R8" s="73"/>
    </row>
    <row r="9" spans="1:18">
      <c r="A9" s="38">
        <f t="shared" si="0"/>
        <v>6</v>
      </c>
      <c r="B9" s="45" t="s">
        <v>95</v>
      </c>
      <c r="C9" s="83" t="s">
        <v>92</v>
      </c>
      <c r="D9" s="42" t="s">
        <v>36</v>
      </c>
      <c r="E9" s="64" t="s">
        <v>96</v>
      </c>
      <c r="F9" s="64" t="s">
        <v>97</v>
      </c>
      <c r="G9" s="41">
        <v>260800001</v>
      </c>
      <c r="H9" s="43"/>
      <c r="I9" s="34" t="s">
        <v>123</v>
      </c>
      <c r="J9" s="42"/>
      <c r="K9" s="42">
        <v>12</v>
      </c>
      <c r="L9" s="44">
        <v>46238</v>
      </c>
      <c r="M9" s="40">
        <f t="shared" si="1"/>
        <v>46603</v>
      </c>
      <c r="N9" s="38" t="str">
        <f ca="1">IF(M9="","",IF(M9="","",IF(OR(IFERROR(INDEX('Calibration Schedule'!J:J,MATCH(B9,'Calibration Schedule'!C:C,0)),"")="Sent for calibration",IFERROR(INDEX('Calibration Schedule'!J:J,MATCH(B9,'Calibration Schedule'!C:C,0)),"")="Scheduled for calibration"),IFERROR(INDEX('Calibration Schedule'!J:J,MATCH(B9,'Calibration Schedule'!C:C,0)),""),IF(M9&lt;TODAY(),"Expired",IF(M9&lt;=TODAY()+30,"Expiring Soon","Pass")))))</f>
        <v>Pass</v>
      </c>
      <c r="O9" s="43"/>
      <c r="P9" s="42"/>
      <c r="Q9" s="42"/>
      <c r="R9" s="73">
        <v>70</v>
      </c>
    </row>
    <row r="10" spans="1:18">
      <c r="A10" s="38">
        <f t="shared" si="0"/>
        <v>7</v>
      </c>
      <c r="B10" s="45" t="s">
        <v>95</v>
      </c>
      <c r="C10" s="84"/>
      <c r="D10" s="38" t="s">
        <v>36</v>
      </c>
      <c r="E10" s="65"/>
      <c r="F10" s="65"/>
      <c r="G10" s="41">
        <v>260800005</v>
      </c>
      <c r="H10" s="10"/>
      <c r="I10" s="34" t="s">
        <v>123</v>
      </c>
      <c r="J10" s="38"/>
      <c r="K10" s="38">
        <v>12</v>
      </c>
      <c r="L10" s="44">
        <v>46238</v>
      </c>
      <c r="M10" s="40">
        <f t="shared" si="1"/>
        <v>46603</v>
      </c>
      <c r="N10" s="38" t="str">
        <f ca="1">IF(M10="","",IF(M10="","",IF(OR(IFERROR(INDEX('Calibration Schedule'!J:J,MATCH(B10,'Calibration Schedule'!C:C,0)),"")="Sent for calibration",IFERROR(INDEX('Calibration Schedule'!J:J,MATCH(B10,'Calibration Schedule'!C:C,0)),"")="Scheduled for calibration"),IFERROR(INDEX('Calibration Schedule'!J:J,MATCH(B10,'Calibration Schedule'!C:C,0)),""),IF(M10&lt;TODAY(),"Expired",IF(M10&lt;=TODAY()+30,"Expiring Soon","Pass")))))</f>
        <v>Pass</v>
      </c>
      <c r="O10" s="10"/>
      <c r="P10" s="38"/>
      <c r="Q10" s="38"/>
      <c r="R10" s="73"/>
    </row>
    <row r="11" spans="1:18">
      <c r="A11" s="38">
        <f t="shared" si="0"/>
        <v>8</v>
      </c>
      <c r="B11" s="45" t="s">
        <v>95</v>
      </c>
      <c r="C11" s="85"/>
      <c r="D11" s="42" t="s">
        <v>36</v>
      </c>
      <c r="E11" s="66"/>
      <c r="F11" s="66"/>
      <c r="G11" s="41">
        <v>260800007</v>
      </c>
      <c r="H11" s="43"/>
      <c r="I11" s="34" t="s">
        <v>123</v>
      </c>
      <c r="J11" s="42"/>
      <c r="K11" s="42">
        <v>12</v>
      </c>
      <c r="L11" s="44">
        <v>46238</v>
      </c>
      <c r="M11" s="40">
        <f t="shared" si="1"/>
        <v>46603</v>
      </c>
      <c r="N11" s="38" t="str">
        <f ca="1">IF(M11="","",IF(M11="","",IF(OR(IFERROR(INDEX('Calibration Schedule'!J:J,MATCH(B11,'Calibration Schedule'!C:C,0)),"")="Sent for calibration",IFERROR(INDEX('Calibration Schedule'!J:J,MATCH(B11,'Calibration Schedule'!C:C,0)),"")="Scheduled for calibration"),IFERROR(INDEX('Calibration Schedule'!J:J,MATCH(B11,'Calibration Schedule'!C:C,0)),""),IF(M11&lt;TODAY(),"Expired",IF(M11&lt;=TODAY()+30,"Expiring Soon","Pass")))))</f>
        <v>Pass</v>
      </c>
      <c r="O11" s="43"/>
      <c r="P11" s="42"/>
      <c r="Q11" s="42"/>
      <c r="R11" s="73"/>
    </row>
    <row r="12" spans="1:18" ht="35.25" customHeight="1">
      <c r="A12" s="38">
        <f t="shared" si="0"/>
        <v>9</v>
      </c>
      <c r="B12" s="39" t="s">
        <v>98</v>
      </c>
      <c r="C12" s="38" t="s">
        <v>99</v>
      </c>
      <c r="D12" s="38" t="s">
        <v>485</v>
      </c>
      <c r="E12" s="39"/>
      <c r="F12" s="39"/>
      <c r="G12" s="39"/>
      <c r="H12" s="10"/>
      <c r="I12" s="38" t="s">
        <v>100</v>
      </c>
      <c r="J12" s="38"/>
      <c r="K12" s="38" t="s">
        <v>393</v>
      </c>
      <c r="L12" s="40"/>
      <c r="M12" s="40" t="str">
        <f t="shared" si="1"/>
        <v/>
      </c>
      <c r="N12" s="38" t="str">
        <f ca="1">IF(M12="","",IF(M12="","",IF(OR(IFERROR(INDEX('Calibration Schedule'!J:J,MATCH(B12,'Calibration Schedule'!C:C,0)),"")="Sent for calibration",IFERROR(INDEX('Calibration Schedule'!J:J,MATCH(B12,'Calibration Schedule'!C:C,0)),"")="Scheduled for calibration"),IFERROR(INDEX('Calibration Schedule'!J:J,MATCH(B12,'Calibration Schedule'!C:C,0)),""),IF(M12&lt;TODAY(),"Expired",IF(M12&lt;=TODAY()+30,"Expiring Soon","Pass")))))</f>
        <v/>
      </c>
      <c r="O12" s="10"/>
      <c r="P12" s="38"/>
      <c r="Q12" s="38" t="s">
        <v>486</v>
      </c>
      <c r="R12" s="52">
        <v>65</v>
      </c>
    </row>
    <row r="13" spans="1:18">
      <c r="A13" s="38">
        <f t="shared" si="0"/>
        <v>10</v>
      </c>
      <c r="B13" s="41" t="s">
        <v>101</v>
      </c>
      <c r="C13" s="42" t="s">
        <v>102</v>
      </c>
      <c r="D13" s="42" t="s">
        <v>485</v>
      </c>
      <c r="E13" s="41"/>
      <c r="F13" s="41"/>
      <c r="G13" s="41"/>
      <c r="H13" s="43"/>
      <c r="I13" s="36" t="s">
        <v>103</v>
      </c>
      <c r="J13" s="42"/>
      <c r="K13" s="42" t="s">
        <v>393</v>
      </c>
      <c r="L13" s="44"/>
      <c r="M13" s="40" t="str">
        <f t="shared" si="1"/>
        <v/>
      </c>
      <c r="N13" s="38" t="str">
        <f ca="1">IF(M13="","",IF(M13="","",IF(OR(IFERROR(INDEX('Calibration Schedule'!J:J,MATCH(B13,'Calibration Schedule'!C:C,0)),"")="Sent for calibration",IFERROR(INDEX('Calibration Schedule'!J:J,MATCH(B13,'Calibration Schedule'!C:C,0)),"")="Scheduled for calibration"),IFERROR(INDEX('Calibration Schedule'!J:J,MATCH(B13,'Calibration Schedule'!C:C,0)),""),IF(M13&lt;TODAY(),"Expired",IF(M13&lt;=TODAY()+30,"Expiring Soon","Pass")))))</f>
        <v/>
      </c>
      <c r="O13" s="43"/>
      <c r="P13" s="42"/>
      <c r="Q13" s="42" t="s">
        <v>191</v>
      </c>
      <c r="R13" s="52">
        <v>37</v>
      </c>
    </row>
    <row r="14" spans="1:18">
      <c r="A14" s="38">
        <f t="shared" si="0"/>
        <v>11</v>
      </c>
      <c r="B14" s="58" t="s">
        <v>105</v>
      </c>
      <c r="C14" s="61" t="s">
        <v>106</v>
      </c>
      <c r="D14" s="38" t="s">
        <v>32</v>
      </c>
      <c r="E14" s="39"/>
      <c r="F14" s="58" t="s">
        <v>107</v>
      </c>
      <c r="G14" s="39">
        <v>202607206</v>
      </c>
      <c r="H14" s="10"/>
      <c r="I14" s="36" t="s">
        <v>103</v>
      </c>
      <c r="J14" s="38"/>
      <c r="K14" s="38"/>
      <c r="L14" s="40"/>
      <c r="M14" s="40">
        <f t="shared" si="1"/>
        <v>0</v>
      </c>
      <c r="N14" s="38" t="str">
        <f ca="1">IF(M14="","",IF(M14="","",IF(OR(IFERROR(INDEX('Calibration Schedule'!J:J,MATCH(B14,'Calibration Schedule'!C:C,0)),"")="Sent for calibration",IFERROR(INDEX('Calibration Schedule'!J:J,MATCH(B14,'Calibration Schedule'!C:C,0)),"")="Scheduled for calibration"),IFERROR(INDEX('Calibration Schedule'!J:J,MATCH(B14,'Calibration Schedule'!C:C,0)),""),IF(M14&lt;TODAY(),"Expired",IF(M14&lt;=TODAY()+30,"Expiring Soon","Pass")))))</f>
        <v>Expired</v>
      </c>
      <c r="O14" s="10"/>
      <c r="P14" s="38"/>
      <c r="Q14" s="38"/>
      <c r="R14" s="73">
        <v>51</v>
      </c>
    </row>
    <row r="15" spans="1:18">
      <c r="A15" s="38" t="str">
        <f t="shared" si="0"/>
        <v/>
      </c>
      <c r="B15" s="59"/>
      <c r="C15" s="62"/>
      <c r="D15" s="42" t="s">
        <v>32</v>
      </c>
      <c r="E15" s="41"/>
      <c r="F15" s="59"/>
      <c r="G15" s="41">
        <v>202607168</v>
      </c>
      <c r="H15" s="43"/>
      <c r="I15" s="36" t="s">
        <v>103</v>
      </c>
      <c r="J15" s="42"/>
      <c r="K15" s="42"/>
      <c r="L15" s="44"/>
      <c r="M15" s="40" t="str">
        <f t="shared" si="1"/>
        <v/>
      </c>
      <c r="N15" s="38" t="str">
        <f ca="1">IF(M15="","",IF(M15="","",IF(OR(IFERROR(INDEX('Calibration Schedule'!J:J,MATCH(B15,'Calibration Schedule'!C:C,0)),"")="Sent for calibration",IFERROR(INDEX('Calibration Schedule'!J:J,MATCH(B15,'Calibration Schedule'!C:C,0)),"")="Scheduled for calibration"),IFERROR(INDEX('Calibration Schedule'!J:J,MATCH(B15,'Calibration Schedule'!C:C,0)),""),IF(M15&lt;TODAY(),"Expired",IF(M15&lt;=TODAY()+30,"Expiring Soon","Pass")))))</f>
        <v/>
      </c>
      <c r="O15" s="43"/>
      <c r="P15" s="42"/>
      <c r="Q15" s="42"/>
      <c r="R15" s="73"/>
    </row>
    <row r="16" spans="1:18">
      <c r="A16" s="38" t="str">
        <f t="shared" si="0"/>
        <v/>
      </c>
      <c r="B16" s="59"/>
      <c r="C16" s="62"/>
      <c r="D16" s="38" t="s">
        <v>32</v>
      </c>
      <c r="E16" s="39"/>
      <c r="F16" s="59"/>
      <c r="G16" s="39">
        <v>202607058</v>
      </c>
      <c r="H16" s="10"/>
      <c r="I16" s="36" t="s">
        <v>103</v>
      </c>
      <c r="J16" s="38"/>
      <c r="K16" s="38"/>
      <c r="L16" s="40"/>
      <c r="M16" s="40" t="str">
        <f t="shared" si="1"/>
        <v/>
      </c>
      <c r="N16" s="38" t="str">
        <f ca="1">IF(M16="","",IF(M16="","",IF(OR(IFERROR(INDEX('Calibration Schedule'!J:J,MATCH(B16,'Calibration Schedule'!C:C,0)),"")="Sent for calibration",IFERROR(INDEX('Calibration Schedule'!J:J,MATCH(B16,'Calibration Schedule'!C:C,0)),"")="Scheduled for calibration"),IFERROR(INDEX('Calibration Schedule'!J:J,MATCH(B16,'Calibration Schedule'!C:C,0)),""),IF(M16&lt;TODAY(),"Expired",IF(M16&lt;=TODAY()+30,"Expiring Soon","Pass")))))</f>
        <v/>
      </c>
      <c r="O16" s="10"/>
      <c r="P16" s="38"/>
      <c r="Q16" s="38"/>
      <c r="R16" s="73"/>
    </row>
    <row r="17" spans="1:18">
      <c r="A17" s="38" t="str">
        <f t="shared" si="0"/>
        <v/>
      </c>
      <c r="B17" s="60"/>
      <c r="C17" s="63"/>
      <c r="D17" s="42" t="s">
        <v>32</v>
      </c>
      <c r="E17" s="41"/>
      <c r="F17" s="60"/>
      <c r="G17" s="41">
        <v>202607192</v>
      </c>
      <c r="H17" s="43"/>
      <c r="I17" s="36" t="s">
        <v>103</v>
      </c>
      <c r="J17" s="42"/>
      <c r="K17" s="42"/>
      <c r="L17" s="44"/>
      <c r="M17" s="40" t="str">
        <f t="shared" si="1"/>
        <v/>
      </c>
      <c r="N17" s="38" t="str">
        <f ca="1">IF(M17="","",IF(M17="","",IF(OR(IFERROR(INDEX('Calibration Schedule'!J:J,MATCH(B17,'Calibration Schedule'!C:C,0)),"")="Sent for calibration",IFERROR(INDEX('Calibration Schedule'!J:J,MATCH(B17,'Calibration Schedule'!C:C,0)),"")="Scheduled for calibration"),IFERROR(INDEX('Calibration Schedule'!J:J,MATCH(B17,'Calibration Schedule'!C:C,0)),""),IF(M17&lt;TODAY(),"Expired",IF(M17&lt;=TODAY()+30,"Expiring Soon","Pass")))))</f>
        <v/>
      </c>
      <c r="O17" s="43"/>
      <c r="P17" s="42"/>
      <c r="Q17" s="42"/>
      <c r="R17" s="73"/>
    </row>
    <row r="18" spans="1:18">
      <c r="A18" s="38">
        <f t="shared" si="0"/>
        <v>15</v>
      </c>
      <c r="B18" s="39" t="s">
        <v>108</v>
      </c>
      <c r="C18" s="38" t="s">
        <v>109</v>
      </c>
      <c r="D18" s="38" t="s">
        <v>483</v>
      </c>
      <c r="E18" s="39"/>
      <c r="F18" s="39"/>
      <c r="G18" s="39">
        <v>13231</v>
      </c>
      <c r="H18" s="10"/>
      <c r="I18" s="36" t="s">
        <v>103</v>
      </c>
      <c r="J18" s="38"/>
      <c r="K18" s="38" t="s">
        <v>393</v>
      </c>
      <c r="L18" s="40"/>
      <c r="M18" s="40" t="str">
        <f t="shared" si="1"/>
        <v/>
      </c>
      <c r="N18" s="38" t="str">
        <f ca="1">IF(M18="","",IF(M18="","",IF(OR(IFERROR(INDEX('Calibration Schedule'!J:J,MATCH(B18,'Calibration Schedule'!C:C,0)),"")="Sent for calibration",IFERROR(INDEX('Calibration Schedule'!J:J,MATCH(B18,'Calibration Schedule'!C:C,0)),"")="Scheduled for calibration"),IFERROR(INDEX('Calibration Schedule'!J:J,MATCH(B18,'Calibration Schedule'!C:C,0)),""),IF(M18&lt;TODAY(),"Expired",IF(M18&lt;=TODAY()+30,"Expiring Soon","Pass")))))</f>
        <v/>
      </c>
      <c r="O18" s="10"/>
      <c r="P18" s="38"/>
      <c r="Q18" s="38"/>
      <c r="R18" s="52">
        <v>89</v>
      </c>
    </row>
    <row r="19" spans="1:18">
      <c r="A19" s="38">
        <f t="shared" si="0"/>
        <v>16</v>
      </c>
      <c r="B19" s="41" t="s">
        <v>110</v>
      </c>
      <c r="C19" s="42" t="s">
        <v>111</v>
      </c>
      <c r="D19" s="42" t="s">
        <v>483</v>
      </c>
      <c r="E19" s="41"/>
      <c r="F19" s="41"/>
      <c r="G19" s="41" t="s">
        <v>112</v>
      </c>
      <c r="H19" s="43" t="s">
        <v>115</v>
      </c>
      <c r="I19" s="36" t="s">
        <v>103</v>
      </c>
      <c r="J19" s="42"/>
      <c r="K19" s="42"/>
      <c r="L19" s="44"/>
      <c r="M19" s="40">
        <f t="shared" si="1"/>
        <v>0</v>
      </c>
      <c r="N19" s="38" t="str">
        <f ca="1">IF(M19="","",IF(M19="","",IF(OR(IFERROR(INDEX('Calibration Schedule'!J:J,MATCH(B19,'Calibration Schedule'!C:C,0)),"")="Sent for calibration",IFERROR(INDEX('Calibration Schedule'!J:J,MATCH(B19,'Calibration Schedule'!C:C,0)),"")="Scheduled for calibration"),IFERROR(INDEX('Calibration Schedule'!J:J,MATCH(B19,'Calibration Schedule'!C:C,0)),""),IF(M19&lt;TODAY(),"Expired",IF(M19&lt;=TODAY()+30,"Expiring Soon","Pass")))))</f>
        <v>Expired</v>
      </c>
      <c r="O19" s="43"/>
      <c r="P19" s="42"/>
      <c r="Q19" s="42"/>
      <c r="R19" s="52">
        <v>21</v>
      </c>
    </row>
    <row r="20" spans="1:18">
      <c r="A20" s="38">
        <f t="shared" si="0"/>
        <v>17</v>
      </c>
      <c r="B20" s="39" t="s">
        <v>113</v>
      </c>
      <c r="C20" s="38" t="s">
        <v>114</v>
      </c>
      <c r="D20" s="38" t="s">
        <v>483</v>
      </c>
      <c r="E20" s="39"/>
      <c r="F20" s="39"/>
      <c r="G20" s="39"/>
      <c r="H20" s="10"/>
      <c r="I20" s="36" t="s">
        <v>103</v>
      </c>
      <c r="J20" s="38"/>
      <c r="K20" s="38"/>
      <c r="L20" s="40"/>
      <c r="M20" s="40">
        <f t="shared" si="1"/>
        <v>0</v>
      </c>
      <c r="N20" s="38" t="str">
        <f ca="1">IF(M20="","",IF(M20="","",IF(OR(IFERROR(INDEX('Calibration Schedule'!J:J,MATCH(B20,'Calibration Schedule'!C:C,0)),"")="Sent for calibration",IFERROR(INDEX('Calibration Schedule'!J:J,MATCH(B20,'Calibration Schedule'!C:C,0)),"")="Scheduled for calibration"),IFERROR(INDEX('Calibration Schedule'!J:J,MATCH(B20,'Calibration Schedule'!C:C,0)),""),IF(M20&lt;TODAY(),"Expired",IF(M20&lt;=TODAY()+30,"Expiring Soon","Pass")))))</f>
        <v>Expired</v>
      </c>
      <c r="O20" s="10"/>
      <c r="P20" s="38"/>
      <c r="Q20" s="38"/>
      <c r="R20" s="52">
        <v>13</v>
      </c>
    </row>
    <row r="21" spans="1:18" ht="36" customHeight="1">
      <c r="A21" s="38">
        <f t="shared" si="0"/>
        <v>18</v>
      </c>
      <c r="B21" s="41" t="s">
        <v>116</v>
      </c>
      <c r="C21" s="42" t="s">
        <v>117</v>
      </c>
      <c r="D21" s="42" t="s">
        <v>36</v>
      </c>
      <c r="E21" s="41"/>
      <c r="F21" s="41"/>
      <c r="G21" s="41"/>
      <c r="H21" s="43"/>
      <c r="I21" s="42" t="s">
        <v>166</v>
      </c>
      <c r="J21" s="42"/>
      <c r="K21" s="42"/>
      <c r="L21" s="44"/>
      <c r="M21" s="40">
        <f t="shared" si="1"/>
        <v>0</v>
      </c>
      <c r="N21" s="38" t="str">
        <f ca="1">IF(M21="","",IF(M21="","",IF(OR(IFERROR(INDEX('Calibration Schedule'!J:J,MATCH(B21,'Calibration Schedule'!C:C,0)),"")="Sent for calibration",IFERROR(INDEX('Calibration Schedule'!J:J,MATCH(B21,'Calibration Schedule'!C:C,0)),"")="Scheduled for calibration"),IFERROR(INDEX('Calibration Schedule'!J:J,MATCH(B21,'Calibration Schedule'!C:C,0)),""),IF(M21&lt;TODAY(),"Expired",IF(M21&lt;=TODAY()+30,"Expiring Soon","Pass")))))</f>
        <v>Expired</v>
      </c>
      <c r="O21" s="43"/>
      <c r="P21" s="42"/>
      <c r="Q21" s="42"/>
      <c r="R21" s="52">
        <v>71</v>
      </c>
    </row>
    <row r="22" spans="1:18">
      <c r="A22" s="38">
        <f t="shared" si="0"/>
        <v>19</v>
      </c>
      <c r="B22" s="45" t="s">
        <v>118</v>
      </c>
      <c r="C22" s="61" t="s">
        <v>119</v>
      </c>
      <c r="D22" s="38" t="s">
        <v>32</v>
      </c>
      <c r="E22" s="39"/>
      <c r="F22" s="39"/>
      <c r="G22" s="39" t="s">
        <v>120</v>
      </c>
      <c r="H22" s="51" t="s">
        <v>489</v>
      </c>
      <c r="I22" s="34" t="s">
        <v>124</v>
      </c>
      <c r="J22" s="38"/>
      <c r="K22" s="38"/>
      <c r="L22" s="40"/>
      <c r="M22" s="40">
        <f t="shared" si="1"/>
        <v>0</v>
      </c>
      <c r="N22" s="38" t="str">
        <f ca="1">IF(M22="","",IF(M22="","",IF(OR(IFERROR(INDEX('Calibration Schedule'!J:J,MATCH(B22,'Calibration Schedule'!C:C,0)),"")="Sent for calibration",IFERROR(INDEX('Calibration Schedule'!J:J,MATCH(B22,'Calibration Schedule'!C:C,0)),"")="Scheduled for calibration"),IFERROR(INDEX('Calibration Schedule'!J:J,MATCH(B22,'Calibration Schedule'!C:C,0)),""),IF(M22&lt;TODAY(),"Expired",IF(M22&lt;=TODAY()+30,"Expiring Soon","Pass")))))</f>
        <v>Expired</v>
      </c>
      <c r="O22" s="10"/>
      <c r="P22" s="38"/>
      <c r="Q22" s="38"/>
      <c r="R22" s="52">
        <v>49</v>
      </c>
    </row>
    <row r="23" spans="1:18">
      <c r="A23" s="38">
        <f t="shared" si="0"/>
        <v>20</v>
      </c>
      <c r="B23" s="45" t="s">
        <v>118</v>
      </c>
      <c r="C23" s="62"/>
      <c r="D23" s="42" t="s">
        <v>32</v>
      </c>
      <c r="E23" s="41"/>
      <c r="F23" s="41"/>
      <c r="G23" s="41" t="s">
        <v>121</v>
      </c>
      <c r="H23" s="51" t="s">
        <v>489</v>
      </c>
      <c r="I23" s="34" t="s">
        <v>124</v>
      </c>
      <c r="J23" s="42"/>
      <c r="K23" s="42"/>
      <c r="L23" s="44"/>
      <c r="M23" s="40">
        <f t="shared" si="1"/>
        <v>0</v>
      </c>
      <c r="N23" s="38" t="str">
        <f ca="1">IF(M23="","",IF(M23="","",IF(OR(IFERROR(INDEX('Calibration Schedule'!J:J,MATCH(B23,'Calibration Schedule'!C:C,0)),"")="Sent for calibration",IFERROR(INDEX('Calibration Schedule'!J:J,MATCH(B23,'Calibration Schedule'!C:C,0)),"")="Scheduled for calibration"),IFERROR(INDEX('Calibration Schedule'!J:J,MATCH(B23,'Calibration Schedule'!C:C,0)),""),IF(M23&lt;TODAY(),"Expired",IF(M23&lt;=TODAY()+30,"Expiring Soon","Pass")))))</f>
        <v>Expired</v>
      </c>
      <c r="O23" s="43"/>
      <c r="P23" s="42"/>
      <c r="Q23" s="42"/>
      <c r="R23" s="52">
        <v>49</v>
      </c>
    </row>
    <row r="24" spans="1:18">
      <c r="A24" s="38">
        <f t="shared" si="0"/>
        <v>21</v>
      </c>
      <c r="B24" s="45" t="s">
        <v>118</v>
      </c>
      <c r="C24" s="63"/>
      <c r="D24" s="38" t="s">
        <v>32</v>
      </c>
      <c r="E24" s="39"/>
      <c r="F24" s="39"/>
      <c r="G24" s="39" t="s">
        <v>122</v>
      </c>
      <c r="H24" s="51" t="s">
        <v>489</v>
      </c>
      <c r="I24" s="34" t="s">
        <v>124</v>
      </c>
      <c r="J24" s="38"/>
      <c r="K24" s="38"/>
      <c r="L24" s="40"/>
      <c r="M24" s="40">
        <f t="shared" si="1"/>
        <v>0</v>
      </c>
      <c r="N24" s="38" t="str">
        <f ca="1">IF(M24="","",IF(M24="","",IF(OR(IFERROR(INDEX('Calibration Schedule'!J:J,MATCH(B24,'Calibration Schedule'!C:C,0)),"")="Sent for calibration",IFERROR(INDEX('Calibration Schedule'!J:J,MATCH(B24,'Calibration Schedule'!C:C,0)),"")="Scheduled for calibration"),IFERROR(INDEX('Calibration Schedule'!J:J,MATCH(B24,'Calibration Schedule'!C:C,0)),""),IF(M24&lt;TODAY(),"Expired",IF(M24&lt;=TODAY()+30,"Expiring Soon","Pass")))))</f>
        <v>Expired</v>
      </c>
      <c r="O24" s="10"/>
      <c r="P24" s="38"/>
      <c r="Q24" s="38"/>
      <c r="R24" s="52">
        <v>49</v>
      </c>
    </row>
    <row r="25" spans="1:18">
      <c r="A25" s="38">
        <f t="shared" si="0"/>
        <v>22</v>
      </c>
      <c r="B25" s="46" t="s">
        <v>125</v>
      </c>
      <c r="C25" s="67" t="s">
        <v>126</v>
      </c>
      <c r="D25" s="42" t="s">
        <v>32</v>
      </c>
      <c r="E25" s="41"/>
      <c r="F25" s="41"/>
      <c r="G25" s="41" t="s">
        <v>128</v>
      </c>
      <c r="H25" s="51" t="s">
        <v>489</v>
      </c>
      <c r="I25" s="34" t="s">
        <v>124</v>
      </c>
      <c r="J25" s="42"/>
      <c r="K25" s="42"/>
      <c r="L25" s="44"/>
      <c r="M25" s="40">
        <f t="shared" si="1"/>
        <v>0</v>
      </c>
      <c r="N25" s="38" t="str">
        <f ca="1">IF(M25="","",IF(M25="","",IF(OR(IFERROR(INDEX('Calibration Schedule'!J:J,MATCH(B25,'Calibration Schedule'!C:C,0)),"")="Sent for calibration",IFERROR(INDEX('Calibration Schedule'!J:J,MATCH(B25,'Calibration Schedule'!C:C,0)),"")="Scheduled for calibration"),IFERROR(INDEX('Calibration Schedule'!J:J,MATCH(B25,'Calibration Schedule'!C:C,0)),""),IF(M25&lt;TODAY(),"Expired",IF(M25&lt;=TODAY()+30,"Expiring Soon","Pass")))))</f>
        <v>Expired</v>
      </c>
      <c r="O25" s="43"/>
      <c r="P25" s="42"/>
      <c r="Q25" s="42"/>
      <c r="R25" s="52">
        <v>68</v>
      </c>
    </row>
    <row r="26" spans="1:18">
      <c r="A26" s="38">
        <f t="shared" si="0"/>
        <v>23</v>
      </c>
      <c r="B26" s="46" t="s">
        <v>125</v>
      </c>
      <c r="C26" s="69"/>
      <c r="D26" s="38" t="s">
        <v>32</v>
      </c>
      <c r="E26" s="39"/>
      <c r="F26" s="39"/>
      <c r="G26" s="41" t="s">
        <v>129</v>
      </c>
      <c r="H26" s="51" t="s">
        <v>489</v>
      </c>
      <c r="I26" s="34" t="s">
        <v>124</v>
      </c>
      <c r="J26" s="38"/>
      <c r="K26" s="38"/>
      <c r="L26" s="40"/>
      <c r="M26" s="40">
        <f t="shared" si="1"/>
        <v>0</v>
      </c>
      <c r="N26" s="38" t="str">
        <f ca="1">IF(M26="","",IF(M26="","",IF(OR(IFERROR(INDEX('Calibration Schedule'!J:J,MATCH(B26,'Calibration Schedule'!C:C,0)),"")="Sent for calibration",IFERROR(INDEX('Calibration Schedule'!J:J,MATCH(B26,'Calibration Schedule'!C:C,0)),"")="Scheduled for calibration"),IFERROR(INDEX('Calibration Schedule'!J:J,MATCH(B26,'Calibration Schedule'!C:C,0)),""),IF(M26&lt;TODAY(),"Expired",IF(M26&lt;=TODAY()+30,"Expiring Soon","Pass")))))</f>
        <v>Expired</v>
      </c>
      <c r="O26" s="10"/>
      <c r="P26" s="38"/>
      <c r="Q26" s="38"/>
      <c r="R26" s="52">
        <v>68</v>
      </c>
    </row>
    <row r="27" spans="1:18">
      <c r="A27" s="38">
        <f t="shared" si="0"/>
        <v>24</v>
      </c>
      <c r="B27" s="46" t="s">
        <v>125</v>
      </c>
      <c r="C27" s="68"/>
      <c r="D27" s="42" t="s">
        <v>32</v>
      </c>
      <c r="E27" s="41"/>
      <c r="F27" s="41"/>
      <c r="G27" s="41" t="s">
        <v>127</v>
      </c>
      <c r="H27" s="51" t="s">
        <v>489</v>
      </c>
      <c r="I27" s="34" t="s">
        <v>124</v>
      </c>
      <c r="J27" s="42"/>
      <c r="K27" s="42"/>
      <c r="L27" s="44"/>
      <c r="M27" s="40">
        <f t="shared" si="1"/>
        <v>0</v>
      </c>
      <c r="N27" s="38" t="str">
        <f ca="1">IF(M27="","",IF(M27="","",IF(OR(IFERROR(INDEX('Calibration Schedule'!J:J,MATCH(B27,'Calibration Schedule'!C:C,0)),"")="Sent for calibration",IFERROR(INDEX('Calibration Schedule'!J:J,MATCH(B27,'Calibration Schedule'!C:C,0)),"")="Scheduled for calibration"),IFERROR(INDEX('Calibration Schedule'!J:J,MATCH(B27,'Calibration Schedule'!C:C,0)),""),IF(M27&lt;TODAY(),"Expired",IF(M27&lt;=TODAY()+30,"Expiring Soon","Pass")))))</f>
        <v>Expired</v>
      </c>
      <c r="O27" s="43"/>
      <c r="P27" s="42"/>
      <c r="Q27" s="42"/>
      <c r="R27" s="52">
        <v>68</v>
      </c>
    </row>
    <row r="28" spans="1:18">
      <c r="A28" s="38">
        <f t="shared" si="0"/>
        <v>25</v>
      </c>
      <c r="B28" s="39" t="s">
        <v>131</v>
      </c>
      <c r="C28" s="38" t="s">
        <v>130</v>
      </c>
      <c r="D28" s="38" t="s">
        <v>32</v>
      </c>
      <c r="E28" s="39"/>
      <c r="F28" s="39"/>
      <c r="G28" s="39" t="s">
        <v>132</v>
      </c>
      <c r="H28" s="51" t="s">
        <v>489</v>
      </c>
      <c r="I28" s="34" t="s">
        <v>124</v>
      </c>
      <c r="J28" s="38"/>
      <c r="K28" s="38"/>
      <c r="L28" s="40"/>
      <c r="M28" s="40">
        <f t="shared" si="1"/>
        <v>0</v>
      </c>
      <c r="N28" s="38" t="str">
        <f ca="1">IF(M28="","",IF(M28="","",IF(OR(IFERROR(INDEX('Calibration Schedule'!J:J,MATCH(B28,'Calibration Schedule'!C:C,0)),"")="Sent for calibration",IFERROR(INDEX('Calibration Schedule'!J:J,MATCH(B28,'Calibration Schedule'!C:C,0)),"")="Scheduled for calibration"),IFERROR(INDEX('Calibration Schedule'!J:J,MATCH(B28,'Calibration Schedule'!C:C,0)),""),IF(M28&lt;TODAY(),"Expired",IF(M28&lt;=TODAY()+30,"Expiring Soon","Pass")))))</f>
        <v>Expired</v>
      </c>
      <c r="O28" s="10"/>
      <c r="P28" s="38"/>
      <c r="Q28" s="38"/>
      <c r="R28" s="52">
        <v>55</v>
      </c>
    </row>
    <row r="29" spans="1:18">
      <c r="A29" s="38">
        <f t="shared" si="0"/>
        <v>26</v>
      </c>
      <c r="B29" s="46" t="s">
        <v>133</v>
      </c>
      <c r="C29" s="67" t="s">
        <v>134</v>
      </c>
      <c r="D29" s="42" t="s">
        <v>32</v>
      </c>
      <c r="E29" s="41"/>
      <c r="F29" s="41"/>
      <c r="G29" s="41">
        <v>6983013</v>
      </c>
      <c r="H29" s="51" t="s">
        <v>489</v>
      </c>
      <c r="I29" s="34" t="s">
        <v>104</v>
      </c>
      <c r="J29" s="42"/>
      <c r="K29" s="42"/>
      <c r="L29" s="44"/>
      <c r="M29" s="40">
        <f t="shared" si="1"/>
        <v>0</v>
      </c>
      <c r="N29" s="38" t="str">
        <f ca="1">IF(M29="","",IF(M29="","",IF(OR(IFERROR(INDEX('Calibration Schedule'!J:J,MATCH(B29,'Calibration Schedule'!C:C,0)),"")="Sent for calibration",IFERROR(INDEX('Calibration Schedule'!J:J,MATCH(B29,'Calibration Schedule'!C:C,0)),"")="Scheduled for calibration"),IFERROR(INDEX('Calibration Schedule'!J:J,MATCH(B29,'Calibration Schedule'!C:C,0)),""),IF(M29&lt;TODAY(),"Expired",IF(M29&lt;=TODAY()+30,"Expiring Soon","Pass")))))</f>
        <v>Expired</v>
      </c>
      <c r="O29" s="43"/>
      <c r="P29" s="42"/>
      <c r="Q29" s="42"/>
      <c r="R29" s="52">
        <v>69</v>
      </c>
    </row>
    <row r="30" spans="1:18">
      <c r="A30" s="38">
        <f t="shared" si="0"/>
        <v>27</v>
      </c>
      <c r="B30" s="46" t="s">
        <v>133</v>
      </c>
      <c r="C30" s="69"/>
      <c r="D30" s="38" t="s">
        <v>32</v>
      </c>
      <c r="E30" s="39"/>
      <c r="F30" s="39"/>
      <c r="G30" s="39">
        <v>6994017</v>
      </c>
      <c r="H30" s="51" t="s">
        <v>489</v>
      </c>
      <c r="I30" s="34" t="s">
        <v>104</v>
      </c>
      <c r="J30" s="38"/>
      <c r="K30" s="38"/>
      <c r="L30" s="40"/>
      <c r="M30" s="40">
        <f t="shared" si="1"/>
        <v>0</v>
      </c>
      <c r="N30" s="38" t="str">
        <f ca="1">IF(M30="","",IF(M30="","",IF(OR(IFERROR(INDEX('Calibration Schedule'!J:J,MATCH(B30,'Calibration Schedule'!C:C,0)),"")="Sent for calibration",IFERROR(INDEX('Calibration Schedule'!J:J,MATCH(B30,'Calibration Schedule'!C:C,0)),"")="Scheduled for calibration"),IFERROR(INDEX('Calibration Schedule'!J:J,MATCH(B30,'Calibration Schedule'!C:C,0)),""),IF(M30&lt;TODAY(),"Expired",IF(M30&lt;=TODAY()+30,"Expiring Soon","Pass")))))</f>
        <v>Expired</v>
      </c>
      <c r="O30" s="10"/>
      <c r="P30" s="38"/>
      <c r="Q30" s="38"/>
      <c r="R30" s="52">
        <v>69</v>
      </c>
    </row>
    <row r="31" spans="1:18">
      <c r="A31" s="38">
        <f t="shared" si="0"/>
        <v>28</v>
      </c>
      <c r="B31" s="46" t="s">
        <v>133</v>
      </c>
      <c r="C31" s="68"/>
      <c r="D31" s="42" t="s">
        <v>32</v>
      </c>
      <c r="E31" s="41"/>
      <c r="F31" s="41"/>
      <c r="G31" s="41">
        <v>7049018</v>
      </c>
      <c r="H31" s="51" t="s">
        <v>489</v>
      </c>
      <c r="I31" s="34" t="s">
        <v>104</v>
      </c>
      <c r="J31" s="42"/>
      <c r="K31" s="42"/>
      <c r="L31" s="44"/>
      <c r="M31" s="40">
        <f t="shared" si="1"/>
        <v>0</v>
      </c>
      <c r="N31" s="38" t="str">
        <f ca="1">IF(M31="","",IF(M31="","",IF(OR(IFERROR(INDEX('Calibration Schedule'!J:J,MATCH(B31,'Calibration Schedule'!C:C,0)),"")="Sent for calibration",IFERROR(INDEX('Calibration Schedule'!J:J,MATCH(B31,'Calibration Schedule'!C:C,0)),"")="Scheduled for calibration"),IFERROR(INDEX('Calibration Schedule'!J:J,MATCH(B31,'Calibration Schedule'!C:C,0)),""),IF(M31&lt;TODAY(),"Expired",IF(M31&lt;=TODAY()+30,"Expiring Soon","Pass")))))</f>
        <v>Expired</v>
      </c>
      <c r="O31" s="43"/>
      <c r="P31" s="42"/>
      <c r="Q31" s="42"/>
      <c r="R31" s="52">
        <v>69</v>
      </c>
    </row>
    <row r="32" spans="1:18">
      <c r="A32" s="38">
        <f t="shared" si="0"/>
        <v>29</v>
      </c>
      <c r="B32" s="58" t="s">
        <v>135</v>
      </c>
      <c r="C32" s="61" t="s">
        <v>136</v>
      </c>
      <c r="D32" s="38" t="s">
        <v>483</v>
      </c>
      <c r="E32" s="39"/>
      <c r="F32" s="39"/>
      <c r="G32" s="39">
        <v>621404179</v>
      </c>
      <c r="H32" s="10"/>
      <c r="I32" s="34" t="s">
        <v>104</v>
      </c>
      <c r="J32" s="38"/>
      <c r="K32" s="38" t="s">
        <v>393</v>
      </c>
      <c r="L32" s="40"/>
      <c r="M32" s="40" t="str">
        <f t="shared" si="1"/>
        <v/>
      </c>
      <c r="N32" s="38" t="str">
        <f ca="1">IF(M32="","",IF(M32="","",IF(OR(IFERROR(INDEX('Calibration Schedule'!J:J,MATCH(B32,'Calibration Schedule'!C:C,0)),"")="Sent for calibration",IFERROR(INDEX('Calibration Schedule'!J:J,MATCH(B32,'Calibration Schedule'!C:C,0)),"")="Scheduled for calibration"),IFERROR(INDEX('Calibration Schedule'!J:J,MATCH(B32,'Calibration Schedule'!C:C,0)),""),IF(M32&lt;TODAY(),"Expired",IF(M32&lt;=TODAY()+30,"Expiring Soon","Pass")))))</f>
        <v/>
      </c>
      <c r="O32" s="10"/>
      <c r="P32" s="38"/>
      <c r="Q32" s="38"/>
      <c r="R32" s="52">
        <v>45</v>
      </c>
    </row>
    <row r="33" spans="1:18">
      <c r="A33" s="38" t="str">
        <f t="shared" si="0"/>
        <v/>
      </c>
      <c r="B33" s="60"/>
      <c r="C33" s="63"/>
      <c r="D33" s="42" t="s">
        <v>483</v>
      </c>
      <c r="E33" s="41"/>
      <c r="F33" s="41"/>
      <c r="G33" s="39">
        <v>621404158</v>
      </c>
      <c r="H33" s="43"/>
      <c r="I33" s="34" t="s">
        <v>104</v>
      </c>
      <c r="J33" s="42"/>
      <c r="K33" s="42" t="s">
        <v>393</v>
      </c>
      <c r="L33" s="44"/>
      <c r="M33" s="40" t="str">
        <f t="shared" si="1"/>
        <v/>
      </c>
      <c r="N33" s="38" t="str">
        <f ca="1">IF(M33="","",IF(M33="","",IF(OR(IFERROR(INDEX('Calibration Schedule'!J:J,MATCH(B33,'Calibration Schedule'!C:C,0)),"")="Sent for calibration",IFERROR(INDEX('Calibration Schedule'!J:J,MATCH(B33,'Calibration Schedule'!C:C,0)),"")="Scheduled for calibration"),IFERROR(INDEX('Calibration Schedule'!J:J,MATCH(B33,'Calibration Schedule'!C:C,0)),""),IF(M33&lt;TODAY(),"Expired",IF(M33&lt;=TODAY()+30,"Expiring Soon","Pass")))))</f>
        <v/>
      </c>
      <c r="O33" s="43"/>
      <c r="P33" s="42"/>
      <c r="Q33" s="42"/>
      <c r="R33" s="52">
        <v>45</v>
      </c>
    </row>
    <row r="34" spans="1:18" ht="29">
      <c r="A34" s="38">
        <f t="shared" si="0"/>
        <v>31</v>
      </c>
      <c r="B34" s="58" t="s">
        <v>138</v>
      </c>
      <c r="C34" s="61" t="s">
        <v>139</v>
      </c>
      <c r="D34" s="38" t="s">
        <v>483</v>
      </c>
      <c r="E34" s="39"/>
      <c r="F34" s="39"/>
      <c r="G34" s="39" t="s">
        <v>140</v>
      </c>
      <c r="H34" s="10"/>
      <c r="I34" s="61" t="s">
        <v>142</v>
      </c>
      <c r="J34" s="38"/>
      <c r="K34" s="38" t="s">
        <v>393</v>
      </c>
      <c r="L34" s="40"/>
      <c r="M34" s="40" t="str">
        <f t="shared" si="1"/>
        <v/>
      </c>
      <c r="N34" s="38" t="str">
        <f ca="1">IF(M34="","",IF(M34="","",IF(OR(IFERROR(INDEX('Calibration Schedule'!J:J,MATCH(B34,'Calibration Schedule'!C:C,0)),"")="Sent for calibration",IFERROR(INDEX('Calibration Schedule'!J:J,MATCH(B34,'Calibration Schedule'!C:C,0)),"")="Scheduled for calibration"),IFERROR(INDEX('Calibration Schedule'!J:J,MATCH(B34,'Calibration Schedule'!C:C,0)),""),IF(M34&lt;TODAY(),"Expired",IF(M34&lt;=TODAY()+30,"Expiring Soon","Pass")))))</f>
        <v/>
      </c>
      <c r="O34" s="10"/>
      <c r="P34" s="38"/>
      <c r="Q34" s="38"/>
      <c r="R34" s="52">
        <v>79</v>
      </c>
    </row>
    <row r="35" spans="1:18" ht="29">
      <c r="A35" s="38" t="str">
        <f t="shared" si="0"/>
        <v/>
      </c>
      <c r="B35" s="60"/>
      <c r="C35" s="63"/>
      <c r="D35" s="42" t="s">
        <v>483</v>
      </c>
      <c r="E35" s="41"/>
      <c r="F35" s="41"/>
      <c r="G35" s="41" t="s">
        <v>141</v>
      </c>
      <c r="H35" s="43"/>
      <c r="I35" s="63"/>
      <c r="J35" s="42"/>
      <c r="K35" s="42" t="s">
        <v>393</v>
      </c>
      <c r="L35" s="44"/>
      <c r="M35" s="40" t="str">
        <f t="shared" si="1"/>
        <v/>
      </c>
      <c r="N35" s="38" t="str">
        <f ca="1">IF(M35="","",IF(M35="","",IF(OR(IFERROR(INDEX('Calibration Schedule'!J:J,MATCH(B35,'Calibration Schedule'!C:C,0)),"")="Sent for calibration",IFERROR(INDEX('Calibration Schedule'!J:J,MATCH(B35,'Calibration Schedule'!C:C,0)),"")="Scheduled for calibration"),IFERROR(INDEX('Calibration Schedule'!J:J,MATCH(B35,'Calibration Schedule'!C:C,0)),""),IF(M35&lt;TODAY(),"Expired",IF(M35&lt;=TODAY()+30,"Expiring Soon","Pass")))))</f>
        <v/>
      </c>
      <c r="O35" s="43"/>
      <c r="P35" s="42"/>
      <c r="Q35" s="42"/>
      <c r="R35" s="52">
        <v>79</v>
      </c>
    </row>
    <row r="36" spans="1:18">
      <c r="A36" s="38">
        <f t="shared" si="0"/>
        <v>33</v>
      </c>
      <c r="B36" s="58" t="s">
        <v>143</v>
      </c>
      <c r="C36" s="61" t="s">
        <v>146</v>
      </c>
      <c r="D36" s="38" t="s">
        <v>483</v>
      </c>
      <c r="E36" s="39"/>
      <c r="F36" s="39"/>
      <c r="G36" s="39" t="s">
        <v>144</v>
      </c>
      <c r="H36" s="10"/>
      <c r="I36" s="61" t="s">
        <v>147</v>
      </c>
      <c r="J36" s="38"/>
      <c r="K36" s="38" t="s">
        <v>393</v>
      </c>
      <c r="L36" s="40"/>
      <c r="M36" s="40" t="str">
        <f t="shared" si="1"/>
        <v/>
      </c>
      <c r="N36" s="38" t="str">
        <f ca="1">IF(M36="","",IF(M36="","",IF(OR(IFERROR(INDEX('Calibration Schedule'!J:J,MATCH(B36,'Calibration Schedule'!C:C,0)),"")="Sent for calibration",IFERROR(INDEX('Calibration Schedule'!J:J,MATCH(B36,'Calibration Schedule'!C:C,0)),"")="Scheduled for calibration"),IFERROR(INDEX('Calibration Schedule'!J:J,MATCH(B36,'Calibration Schedule'!C:C,0)),""),IF(M36&lt;TODAY(),"Expired",IF(M36&lt;=TODAY()+30,"Expiring Soon","Pass")))))</f>
        <v/>
      </c>
      <c r="O36" s="10"/>
      <c r="P36" s="38"/>
      <c r="Q36" s="38"/>
      <c r="R36" s="52">
        <v>91</v>
      </c>
    </row>
    <row r="37" spans="1:18">
      <c r="A37" s="38" t="str">
        <f t="shared" si="0"/>
        <v/>
      </c>
      <c r="B37" s="60"/>
      <c r="C37" s="63"/>
      <c r="D37" s="42" t="s">
        <v>483</v>
      </c>
      <c r="E37" s="41"/>
      <c r="F37" s="41"/>
      <c r="G37" s="39" t="s">
        <v>145</v>
      </c>
      <c r="H37" s="43"/>
      <c r="I37" s="63"/>
      <c r="J37" s="42"/>
      <c r="K37" s="42" t="s">
        <v>393</v>
      </c>
      <c r="L37" s="44"/>
      <c r="M37" s="40" t="str">
        <f t="shared" si="1"/>
        <v/>
      </c>
      <c r="N37" s="38" t="str">
        <f ca="1">IF(M37="","",IF(M37="","",IF(OR(IFERROR(INDEX('Calibration Schedule'!J:J,MATCH(B37,'Calibration Schedule'!C:C,0)),"")="Sent for calibration",IFERROR(INDEX('Calibration Schedule'!J:J,MATCH(B37,'Calibration Schedule'!C:C,0)),"")="Scheduled for calibration"),IFERROR(INDEX('Calibration Schedule'!J:J,MATCH(B37,'Calibration Schedule'!C:C,0)),""),IF(M37&lt;TODAY(),"Expired",IF(M37&lt;=TODAY()+30,"Expiring Soon","Pass")))))</f>
        <v/>
      </c>
      <c r="O37" s="43"/>
      <c r="P37" s="42"/>
      <c r="Q37" s="42"/>
      <c r="R37" s="52">
        <v>91</v>
      </c>
    </row>
    <row r="38" spans="1:18" ht="58">
      <c r="A38" s="38">
        <f t="shared" si="0"/>
        <v>35</v>
      </c>
      <c r="B38" s="39" t="s">
        <v>148</v>
      </c>
      <c r="C38" s="38" t="s">
        <v>149</v>
      </c>
      <c r="D38" s="38" t="s">
        <v>36</v>
      </c>
      <c r="E38" s="39" t="s">
        <v>154</v>
      </c>
      <c r="F38" s="39"/>
      <c r="G38" s="39"/>
      <c r="H38" s="10" t="s">
        <v>153</v>
      </c>
      <c r="I38" s="38" t="s">
        <v>142</v>
      </c>
      <c r="J38" s="38"/>
      <c r="K38" s="38" t="s">
        <v>393</v>
      </c>
      <c r="L38" s="40"/>
      <c r="M38" s="40" t="str">
        <f t="shared" si="1"/>
        <v/>
      </c>
      <c r="N38" s="38" t="str">
        <f ca="1">IF(M38="","",IF(M38="","",IF(OR(IFERROR(INDEX('Calibration Schedule'!J:J,MATCH(B38,'Calibration Schedule'!C:C,0)),"")="Sent for calibration",IFERROR(INDEX('Calibration Schedule'!J:J,MATCH(B38,'Calibration Schedule'!C:C,0)),"")="Scheduled for calibration"),IFERROR(INDEX('Calibration Schedule'!J:J,MATCH(B38,'Calibration Schedule'!C:C,0)),""),IF(M38&lt;TODAY(),"Expired",IF(M38&lt;=TODAY()+30,"Expiring Soon","Pass")))))</f>
        <v/>
      </c>
      <c r="O38" s="10"/>
      <c r="P38" s="38"/>
      <c r="Q38" s="38"/>
      <c r="R38" s="52">
        <v>56</v>
      </c>
    </row>
    <row r="39" spans="1:18" ht="43.5">
      <c r="A39" s="38">
        <f t="shared" si="0"/>
        <v>36</v>
      </c>
      <c r="B39" s="41" t="s">
        <v>150</v>
      </c>
      <c r="C39" s="74" t="s">
        <v>152</v>
      </c>
      <c r="D39" s="42" t="s">
        <v>36</v>
      </c>
      <c r="E39" s="41" t="s">
        <v>155</v>
      </c>
      <c r="F39" s="41"/>
      <c r="G39" s="41"/>
      <c r="H39" s="43"/>
      <c r="I39" s="38" t="s">
        <v>142</v>
      </c>
      <c r="J39" s="42"/>
      <c r="K39" s="42" t="s">
        <v>393</v>
      </c>
      <c r="L39" s="44"/>
      <c r="M39" s="40" t="str">
        <f t="shared" si="1"/>
        <v/>
      </c>
      <c r="N39" s="38" t="str">
        <f ca="1">IF(M39="","",IF(M39="","",IF(OR(IFERROR(INDEX('Calibration Schedule'!J:J,MATCH(B39,'Calibration Schedule'!C:C,0)),"")="Sent for calibration",IFERROR(INDEX('Calibration Schedule'!J:J,MATCH(B39,'Calibration Schedule'!C:C,0)),"")="Scheduled for calibration"),IFERROR(INDEX('Calibration Schedule'!J:J,MATCH(B39,'Calibration Schedule'!C:C,0)),""),IF(M39&lt;TODAY(),"Expired",IF(M39&lt;=TODAY()+30,"Expiring Soon","Pass")))))</f>
        <v/>
      </c>
      <c r="O39" s="43"/>
      <c r="P39" s="42"/>
      <c r="Q39" s="42"/>
      <c r="R39" s="52">
        <v>25</v>
      </c>
    </row>
    <row r="40" spans="1:18" ht="43.5">
      <c r="A40" s="38">
        <f t="shared" si="0"/>
        <v>37</v>
      </c>
      <c r="B40" s="39" t="s">
        <v>151</v>
      </c>
      <c r="C40" s="75"/>
      <c r="D40" s="38" t="s">
        <v>36</v>
      </c>
      <c r="E40" s="39" t="s">
        <v>156</v>
      </c>
      <c r="F40" s="39"/>
      <c r="G40" s="39"/>
      <c r="H40" s="10"/>
      <c r="I40" s="38" t="s">
        <v>142</v>
      </c>
      <c r="J40" s="38"/>
      <c r="K40" s="38" t="s">
        <v>393</v>
      </c>
      <c r="L40" s="40"/>
      <c r="M40" s="40" t="str">
        <f t="shared" si="1"/>
        <v/>
      </c>
      <c r="N40" s="38" t="str">
        <f ca="1">IF(M40="","",IF(M40="","",IF(OR(IFERROR(INDEX('Calibration Schedule'!J:J,MATCH(B40,'Calibration Schedule'!C:C,0)),"")="Sent for calibration",IFERROR(INDEX('Calibration Schedule'!J:J,MATCH(B40,'Calibration Schedule'!C:C,0)),"")="Scheduled for calibration"),IFERROR(INDEX('Calibration Schedule'!J:J,MATCH(B40,'Calibration Schedule'!C:C,0)),""),IF(M40&lt;TODAY(),"Expired",IF(M40&lt;=TODAY()+30,"Expiring Soon","Pass")))))</f>
        <v/>
      </c>
      <c r="O40" s="10"/>
      <c r="P40" s="38"/>
      <c r="Q40" s="38"/>
      <c r="R40" s="52">
        <v>26</v>
      </c>
    </row>
    <row r="41" spans="1:18">
      <c r="A41" s="38">
        <f t="shared" si="0"/>
        <v>38</v>
      </c>
      <c r="B41" s="64" t="s">
        <v>487</v>
      </c>
      <c r="C41" s="67" t="s">
        <v>157</v>
      </c>
      <c r="D41" s="42" t="s">
        <v>483</v>
      </c>
      <c r="E41" s="41" t="s">
        <v>158</v>
      </c>
      <c r="F41" s="41"/>
      <c r="G41" s="41" t="s">
        <v>159</v>
      </c>
      <c r="H41" s="43"/>
      <c r="I41" s="61" t="s">
        <v>104</v>
      </c>
      <c r="J41" s="42"/>
      <c r="K41" s="42" t="s">
        <v>393</v>
      </c>
      <c r="L41" s="44"/>
      <c r="M41" s="40" t="str">
        <f t="shared" si="1"/>
        <v/>
      </c>
      <c r="N41" s="38" t="str">
        <f ca="1">IF(M41="","",IF(M41="","",IF(OR(IFERROR(INDEX('Calibration Schedule'!J:J,MATCH(B41,'Calibration Schedule'!C:C,0)),"")="Sent for calibration",IFERROR(INDEX('Calibration Schedule'!J:J,MATCH(B41,'Calibration Schedule'!C:C,0)),"")="Scheduled for calibration"),IFERROR(INDEX('Calibration Schedule'!J:J,MATCH(B41,'Calibration Schedule'!C:C,0)),""),IF(M41&lt;TODAY(),"Expired",IF(M41&lt;=TODAY()+30,"Expiring Soon","Pass")))))</f>
        <v/>
      </c>
      <c r="O41" s="43"/>
      <c r="P41" s="42"/>
      <c r="Q41" s="42"/>
      <c r="R41" s="52">
        <v>86</v>
      </c>
    </row>
    <row r="42" spans="1:18">
      <c r="A42" s="38" t="str">
        <f t="shared" si="0"/>
        <v/>
      </c>
      <c r="B42" s="66"/>
      <c r="C42" s="68"/>
      <c r="D42" s="38" t="s">
        <v>483</v>
      </c>
      <c r="E42" s="39"/>
      <c r="F42" s="39"/>
      <c r="G42" s="39" t="s">
        <v>160</v>
      </c>
      <c r="H42" s="10"/>
      <c r="I42" s="63"/>
      <c r="J42" s="38"/>
      <c r="K42" s="38" t="s">
        <v>393</v>
      </c>
      <c r="L42" s="40"/>
      <c r="M42" s="40" t="str">
        <f t="shared" si="1"/>
        <v/>
      </c>
      <c r="N42" s="38" t="str">
        <f ca="1">IF(M42="","",IF(M42="","",IF(OR(IFERROR(INDEX('Calibration Schedule'!J:J,MATCH(B42,'Calibration Schedule'!C:C,0)),"")="Sent for calibration",IFERROR(INDEX('Calibration Schedule'!J:J,MATCH(B42,'Calibration Schedule'!C:C,0)),"")="Scheduled for calibration"),IFERROR(INDEX('Calibration Schedule'!J:J,MATCH(B42,'Calibration Schedule'!C:C,0)),""),IF(M42&lt;TODAY(),"Expired",IF(M42&lt;=TODAY()+30,"Expiring Soon","Pass")))))</f>
        <v/>
      </c>
      <c r="O42" s="10"/>
      <c r="P42" s="38"/>
      <c r="Q42" s="38"/>
      <c r="R42" s="52">
        <v>86</v>
      </c>
    </row>
    <row r="43" spans="1:18" ht="32.25" customHeight="1">
      <c r="A43" s="38">
        <f t="shared" si="0"/>
        <v>40</v>
      </c>
      <c r="B43" s="64" t="s">
        <v>161</v>
      </c>
      <c r="C43" s="67" t="s">
        <v>162</v>
      </c>
      <c r="D43" s="42" t="s">
        <v>483</v>
      </c>
      <c r="E43" s="41" t="s">
        <v>163</v>
      </c>
      <c r="F43" s="41"/>
      <c r="G43" s="41" t="s">
        <v>165</v>
      </c>
      <c r="H43" s="43"/>
      <c r="I43" s="38" t="s">
        <v>123</v>
      </c>
      <c r="J43" s="42"/>
      <c r="K43" s="42" t="s">
        <v>393</v>
      </c>
      <c r="L43" s="44"/>
      <c r="M43" s="40" t="str">
        <f t="shared" si="1"/>
        <v/>
      </c>
      <c r="N43" s="38" t="str">
        <f ca="1">IF(M43="","",IF(M43="","",IF(OR(IFERROR(INDEX('Calibration Schedule'!J:J,MATCH(B43,'Calibration Schedule'!C:C,0)),"")="Sent for calibration",IFERROR(INDEX('Calibration Schedule'!J:J,MATCH(B43,'Calibration Schedule'!C:C,0)),"")="Scheduled for calibration"),IFERROR(INDEX('Calibration Schedule'!J:J,MATCH(B43,'Calibration Schedule'!C:C,0)),""),IF(M43&lt;TODAY(),"Expired",IF(M43&lt;=TODAY()+30,"Expiring Soon","Pass")))))</f>
        <v/>
      </c>
      <c r="O43" s="43"/>
      <c r="P43" s="42"/>
      <c r="Q43" s="42"/>
      <c r="R43" s="52">
        <v>83</v>
      </c>
    </row>
    <row r="44" spans="1:18" ht="32.25" customHeight="1">
      <c r="A44" s="38" t="str">
        <f t="shared" si="0"/>
        <v/>
      </c>
      <c r="B44" s="66"/>
      <c r="C44" s="68"/>
      <c r="D44" s="38" t="s">
        <v>483</v>
      </c>
      <c r="E44" s="39"/>
      <c r="F44" s="39"/>
      <c r="G44" s="39" t="s">
        <v>164</v>
      </c>
      <c r="H44" s="10"/>
      <c r="I44" s="38" t="s">
        <v>137</v>
      </c>
      <c r="J44" s="38"/>
      <c r="K44" s="38" t="s">
        <v>393</v>
      </c>
      <c r="L44" s="40"/>
      <c r="M44" s="40" t="str">
        <f t="shared" si="1"/>
        <v/>
      </c>
      <c r="N44" s="38" t="str">
        <f ca="1">IF(M44="","",IF(M44="","",IF(OR(IFERROR(INDEX('Calibration Schedule'!J:J,MATCH(B44,'Calibration Schedule'!C:C,0)),"")="Sent for calibration",IFERROR(INDEX('Calibration Schedule'!J:J,MATCH(B44,'Calibration Schedule'!C:C,0)),"")="Scheduled for calibration"),IFERROR(INDEX('Calibration Schedule'!J:J,MATCH(B44,'Calibration Schedule'!C:C,0)),""),IF(M44&lt;TODAY(),"Expired",IF(M44&lt;=TODAY()+30,"Expiring Soon","Pass")))))</f>
        <v/>
      </c>
      <c r="O44" s="10"/>
      <c r="P44" s="38"/>
      <c r="Q44" s="38"/>
      <c r="R44" s="52">
        <v>83</v>
      </c>
    </row>
    <row r="45" spans="1:18">
      <c r="A45" s="38">
        <f t="shared" si="0"/>
        <v>42</v>
      </c>
      <c r="B45" s="41" t="s">
        <v>167</v>
      </c>
      <c r="C45" s="42" t="s">
        <v>168</v>
      </c>
      <c r="D45" s="42" t="s">
        <v>483</v>
      </c>
      <c r="E45" s="41" t="s">
        <v>169</v>
      </c>
      <c r="F45" s="41"/>
      <c r="G45" s="41" t="s">
        <v>170</v>
      </c>
      <c r="H45" s="43"/>
      <c r="I45" s="34" t="s">
        <v>124</v>
      </c>
      <c r="J45" s="42"/>
      <c r="K45" s="42" t="s">
        <v>393</v>
      </c>
      <c r="L45" s="44"/>
      <c r="M45" s="40" t="str">
        <f t="shared" si="1"/>
        <v/>
      </c>
      <c r="N45" s="38" t="str">
        <f ca="1">IF(M45="","",IF(M45="","",IF(OR(IFERROR(INDEX('Calibration Schedule'!J:J,MATCH(B45,'Calibration Schedule'!C:C,0)),"")="Sent for calibration",IFERROR(INDEX('Calibration Schedule'!J:J,MATCH(B45,'Calibration Schedule'!C:C,0)),"")="Scheduled for calibration"),IFERROR(INDEX('Calibration Schedule'!J:J,MATCH(B45,'Calibration Schedule'!C:C,0)),""),IF(M45&lt;TODAY(),"Expired",IF(M45&lt;=TODAY()+30,"Expiring Soon","Pass")))))</f>
        <v/>
      </c>
      <c r="O45" s="43"/>
      <c r="P45" s="42"/>
      <c r="Q45" s="42"/>
      <c r="R45" s="52">
        <v>90</v>
      </c>
    </row>
    <row r="46" spans="1:18">
      <c r="A46" s="38">
        <f t="shared" si="0"/>
        <v>43</v>
      </c>
      <c r="B46" s="47" t="s">
        <v>174</v>
      </c>
      <c r="C46" s="38" t="s">
        <v>171</v>
      </c>
      <c r="D46" s="38" t="s">
        <v>32</v>
      </c>
      <c r="E46" s="39" t="s">
        <v>172</v>
      </c>
      <c r="F46" s="39"/>
      <c r="G46" s="39" t="s">
        <v>173</v>
      </c>
      <c r="H46" s="43" t="s">
        <v>178</v>
      </c>
      <c r="I46" s="34" t="s">
        <v>124</v>
      </c>
      <c r="J46" s="38"/>
      <c r="K46" s="38"/>
      <c r="L46" s="40"/>
      <c r="M46" s="40">
        <f t="shared" si="1"/>
        <v>0</v>
      </c>
      <c r="N46" s="38" t="str">
        <f ca="1">IF(M46="","",IF(M46="","",IF(OR(IFERROR(INDEX('Calibration Schedule'!J:J,MATCH(B46,'Calibration Schedule'!C:C,0)),"")="Sent for calibration",IFERROR(INDEX('Calibration Schedule'!J:J,MATCH(B46,'Calibration Schedule'!C:C,0)),"")="Scheduled for calibration"),IFERROR(INDEX('Calibration Schedule'!J:J,MATCH(B46,'Calibration Schedule'!C:C,0)),""),IF(M46&lt;TODAY(),"Expired",IF(M46&lt;=TODAY()+30,"Expiring Soon","Pass")))))</f>
        <v>Expired</v>
      </c>
      <c r="O46" s="10"/>
      <c r="P46" s="38"/>
      <c r="Q46" s="38"/>
      <c r="R46" s="52"/>
    </row>
    <row r="47" spans="1:18">
      <c r="A47" s="38">
        <f t="shared" si="0"/>
        <v>44</v>
      </c>
      <c r="B47" s="48" t="s">
        <v>177</v>
      </c>
      <c r="C47" s="42" t="s">
        <v>175</v>
      </c>
      <c r="D47" s="42" t="s">
        <v>32</v>
      </c>
      <c r="E47" s="41"/>
      <c r="F47" s="41"/>
      <c r="G47" s="41" t="s">
        <v>176</v>
      </c>
      <c r="H47" s="43" t="s">
        <v>178</v>
      </c>
      <c r="I47" s="34" t="s">
        <v>124</v>
      </c>
      <c r="J47" s="42"/>
      <c r="K47" s="42"/>
      <c r="L47" s="44"/>
      <c r="M47" s="40">
        <f t="shared" si="1"/>
        <v>0</v>
      </c>
      <c r="N47" s="38" t="str">
        <f ca="1">IF(M47="","",IF(M47="","",IF(OR(IFERROR(INDEX('Calibration Schedule'!J:J,MATCH(B47,'Calibration Schedule'!C:C,0)),"")="Sent for calibration",IFERROR(INDEX('Calibration Schedule'!J:J,MATCH(B47,'Calibration Schedule'!C:C,0)),"")="Scheduled for calibration"),IFERROR(INDEX('Calibration Schedule'!J:J,MATCH(B47,'Calibration Schedule'!C:C,0)),""),IF(M47&lt;TODAY(),"Expired",IF(M47&lt;=TODAY()+30,"Expiring Soon","Pass")))))</f>
        <v>Expired</v>
      </c>
      <c r="O47" s="43"/>
      <c r="P47" s="42"/>
      <c r="Q47" s="42"/>
      <c r="R47" s="52"/>
    </row>
    <row r="48" spans="1:18" ht="30.75" customHeight="1">
      <c r="A48" s="38">
        <f t="shared" si="0"/>
        <v>45</v>
      </c>
      <c r="B48" s="47" t="s">
        <v>180</v>
      </c>
      <c r="C48" s="38" t="s">
        <v>181</v>
      </c>
      <c r="D48" s="38" t="s">
        <v>483</v>
      </c>
      <c r="E48" s="39"/>
      <c r="F48" s="39"/>
      <c r="G48" s="39"/>
      <c r="H48" s="10" t="s">
        <v>182</v>
      </c>
      <c r="I48" s="38" t="s">
        <v>123</v>
      </c>
      <c r="J48" s="38"/>
      <c r="K48" s="38" t="s">
        <v>393</v>
      </c>
      <c r="L48" s="40"/>
      <c r="M48" s="40" t="str">
        <f t="shared" si="1"/>
        <v/>
      </c>
      <c r="N48" s="38" t="str">
        <f ca="1">IF(M48="","",IF(M48="","",IF(OR(IFERROR(INDEX('Calibration Schedule'!J:J,MATCH(B48,'Calibration Schedule'!C:C,0)),"")="Sent for calibration",IFERROR(INDEX('Calibration Schedule'!J:J,MATCH(B48,'Calibration Schedule'!C:C,0)),"")="Scheduled for calibration"),IFERROR(INDEX('Calibration Schedule'!J:J,MATCH(B48,'Calibration Schedule'!C:C,0)),""),IF(M48&lt;TODAY(),"Expired",IF(M48&lt;=TODAY()+30,"Expiring Soon","Pass")))))</f>
        <v/>
      </c>
      <c r="O48" s="10"/>
      <c r="P48" s="38"/>
      <c r="Q48" s="38"/>
      <c r="R48" s="52"/>
    </row>
    <row r="49" spans="1:18" ht="33" customHeight="1">
      <c r="A49" s="38">
        <f t="shared" si="0"/>
        <v>46</v>
      </c>
      <c r="B49" s="48" t="s">
        <v>183</v>
      </c>
      <c r="C49" s="42" t="s">
        <v>184</v>
      </c>
      <c r="D49" s="42" t="s">
        <v>485</v>
      </c>
      <c r="E49" s="41" t="s">
        <v>185</v>
      </c>
      <c r="F49" s="41"/>
      <c r="G49" s="41"/>
      <c r="H49" s="43"/>
      <c r="I49" s="38" t="s">
        <v>187</v>
      </c>
      <c r="J49" s="42"/>
      <c r="K49" s="42" t="s">
        <v>393</v>
      </c>
      <c r="L49" s="44"/>
      <c r="M49" s="40" t="str">
        <f t="shared" si="1"/>
        <v/>
      </c>
      <c r="N49" s="38" t="str">
        <f ca="1">IF(M49="","",IF(M49="","",IF(OR(IFERROR(INDEX('Calibration Schedule'!J:J,MATCH(B49,'Calibration Schedule'!C:C,0)),"")="Sent for calibration",IFERROR(INDEX('Calibration Schedule'!J:J,MATCH(B49,'Calibration Schedule'!C:C,0)),"")="Scheduled for calibration"),IFERROR(INDEX('Calibration Schedule'!J:J,MATCH(B49,'Calibration Schedule'!C:C,0)),""),IF(M49&lt;TODAY(),"Expired",IF(M49&lt;=TODAY()+30,"Expiring Soon","Pass")))))</f>
        <v/>
      </c>
      <c r="O49" s="43"/>
      <c r="P49" s="42"/>
      <c r="Q49" s="42" t="s">
        <v>186</v>
      </c>
      <c r="R49" s="52"/>
    </row>
    <row r="50" spans="1:18">
      <c r="A50" s="38">
        <f t="shared" si="0"/>
        <v>47</v>
      </c>
      <c r="B50" s="47" t="s">
        <v>188</v>
      </c>
      <c r="C50" s="38" t="s">
        <v>189</v>
      </c>
      <c r="D50" s="38" t="s">
        <v>483</v>
      </c>
      <c r="E50" s="39"/>
      <c r="F50" s="39"/>
      <c r="G50" s="39"/>
      <c r="H50" s="10" t="s">
        <v>190</v>
      </c>
      <c r="I50" s="34" t="s">
        <v>192</v>
      </c>
      <c r="J50" s="38"/>
      <c r="K50" s="38" t="s">
        <v>393</v>
      </c>
      <c r="L50" s="40"/>
      <c r="M50" s="40" t="str">
        <f t="shared" si="1"/>
        <v/>
      </c>
      <c r="N50" s="38" t="str">
        <f ca="1">IF(M50="","",IF(M50="","",IF(OR(IFERROR(INDEX('Calibration Schedule'!J:J,MATCH(B50,'Calibration Schedule'!C:C,0)),"")="Sent for calibration",IFERROR(INDEX('Calibration Schedule'!J:J,MATCH(B50,'Calibration Schedule'!C:C,0)),"")="Scheduled for calibration"),IFERROR(INDEX('Calibration Schedule'!J:J,MATCH(B50,'Calibration Schedule'!C:C,0)),""),IF(M50&lt;TODAY(),"Expired",IF(M50&lt;=TODAY()+30,"Expiring Soon","Pass")))))</f>
        <v/>
      </c>
      <c r="O50" s="10"/>
      <c r="P50" s="38"/>
      <c r="Q50" s="38" t="s">
        <v>191</v>
      </c>
      <c r="R50" s="52"/>
    </row>
    <row r="51" spans="1:18">
      <c r="A51" s="38">
        <f t="shared" si="0"/>
        <v>48</v>
      </c>
      <c r="B51" s="48" t="s">
        <v>193</v>
      </c>
      <c r="C51" s="42" t="s">
        <v>194</v>
      </c>
      <c r="D51" s="42" t="s">
        <v>483</v>
      </c>
      <c r="E51" s="41"/>
      <c r="F51" s="41"/>
      <c r="G51" s="41"/>
      <c r="H51" s="43" t="s">
        <v>195</v>
      </c>
      <c r="I51" s="34" t="s">
        <v>192</v>
      </c>
      <c r="J51" s="42"/>
      <c r="K51" s="42" t="s">
        <v>393</v>
      </c>
      <c r="L51" s="44"/>
      <c r="M51" s="40" t="str">
        <f t="shared" si="1"/>
        <v/>
      </c>
      <c r="N51" s="38" t="str">
        <f ca="1">IF(M51="","",IF(M51="","",IF(OR(IFERROR(INDEX('Calibration Schedule'!J:J,MATCH(B51,'Calibration Schedule'!C:C,0)),"")="Sent for calibration",IFERROR(INDEX('Calibration Schedule'!J:J,MATCH(B51,'Calibration Schedule'!C:C,0)),"")="Scheduled for calibration"),IFERROR(INDEX('Calibration Schedule'!J:J,MATCH(B51,'Calibration Schedule'!C:C,0)),""),IF(M51&lt;TODAY(),"Expired",IF(M51&lt;=TODAY()+30,"Expiring Soon","Pass")))))</f>
        <v/>
      </c>
      <c r="O51" s="43"/>
      <c r="P51" s="42"/>
      <c r="Q51" s="42" t="s">
        <v>199</v>
      </c>
      <c r="R51" s="52"/>
    </row>
    <row r="52" spans="1:18">
      <c r="A52" s="38">
        <f t="shared" si="0"/>
        <v>49</v>
      </c>
      <c r="B52" s="47" t="s">
        <v>196</v>
      </c>
      <c r="C52" s="38" t="s">
        <v>197</v>
      </c>
      <c r="D52" s="38" t="s">
        <v>32</v>
      </c>
      <c r="E52" s="39" t="s">
        <v>198</v>
      </c>
      <c r="F52" s="39"/>
      <c r="G52" s="39"/>
      <c r="H52" s="10" t="s">
        <v>223</v>
      </c>
      <c r="I52" s="34" t="s">
        <v>192</v>
      </c>
      <c r="J52" s="38"/>
      <c r="K52" s="38"/>
      <c r="L52" s="40"/>
      <c r="M52" s="40">
        <f t="shared" si="1"/>
        <v>0</v>
      </c>
      <c r="N52" s="38" t="str">
        <f ca="1">IF(M52="","",IF(M52="","",IF(OR(IFERROR(INDEX('Calibration Schedule'!J:J,MATCH(B52,'Calibration Schedule'!C:C,0)),"")="Sent for calibration",IFERROR(INDEX('Calibration Schedule'!J:J,MATCH(B52,'Calibration Schedule'!C:C,0)),"")="Scheduled for calibration"),IFERROR(INDEX('Calibration Schedule'!J:J,MATCH(B52,'Calibration Schedule'!C:C,0)),""),IF(M52&lt;TODAY(),"Expired",IF(M52&lt;=TODAY()+30,"Expiring Soon","Pass")))))</f>
        <v>Expired</v>
      </c>
      <c r="O52" s="10"/>
      <c r="P52" s="38"/>
      <c r="Q52" s="38"/>
      <c r="R52" s="52"/>
    </row>
    <row r="53" spans="1:18">
      <c r="A53" s="38">
        <f t="shared" si="0"/>
        <v>50</v>
      </c>
      <c r="B53" s="48" t="s">
        <v>200</v>
      </c>
      <c r="C53" s="42" t="s">
        <v>201</v>
      </c>
      <c r="D53" s="42" t="s">
        <v>483</v>
      </c>
      <c r="E53" s="41"/>
      <c r="F53" s="41"/>
      <c r="G53" s="41"/>
      <c r="H53" s="43" t="s">
        <v>190</v>
      </c>
      <c r="I53" s="34" t="s">
        <v>192</v>
      </c>
      <c r="J53" s="42"/>
      <c r="K53" s="42" t="s">
        <v>393</v>
      </c>
      <c r="L53" s="44"/>
      <c r="M53" s="40" t="str">
        <f t="shared" si="1"/>
        <v/>
      </c>
      <c r="N53" s="38" t="str">
        <f ca="1">IF(M53="","",IF(M53="","",IF(OR(IFERROR(INDEX('Calibration Schedule'!J:J,MATCH(B53,'Calibration Schedule'!C:C,0)),"")="Sent for calibration",IFERROR(INDEX('Calibration Schedule'!J:J,MATCH(B53,'Calibration Schedule'!C:C,0)),"")="Scheduled for calibration"),IFERROR(INDEX('Calibration Schedule'!J:J,MATCH(B53,'Calibration Schedule'!C:C,0)),""),IF(M53&lt;TODAY(),"Expired",IF(M53&lt;=TODAY()+30,"Expiring Soon","Pass")))))</f>
        <v/>
      </c>
      <c r="O53" s="43"/>
      <c r="P53" s="42"/>
      <c r="Q53" s="42"/>
      <c r="R53" s="52"/>
    </row>
    <row r="54" spans="1:18" ht="29">
      <c r="A54" s="38">
        <f t="shared" si="0"/>
        <v>51</v>
      </c>
      <c r="B54" s="47" t="s">
        <v>202</v>
      </c>
      <c r="C54" s="38" t="s">
        <v>203</v>
      </c>
      <c r="D54" s="38" t="s">
        <v>479</v>
      </c>
      <c r="E54" s="39" t="s">
        <v>205</v>
      </c>
      <c r="F54" s="39" t="s">
        <v>206</v>
      </c>
      <c r="G54" s="39" t="s">
        <v>207</v>
      </c>
      <c r="H54" s="10" t="s">
        <v>204</v>
      </c>
      <c r="I54" s="38" t="s">
        <v>104</v>
      </c>
      <c r="J54" s="38"/>
      <c r="K54" s="38"/>
      <c r="L54" s="40"/>
      <c r="M54" s="40">
        <f t="shared" si="1"/>
        <v>0</v>
      </c>
      <c r="N54" s="38" t="str">
        <f ca="1">IF(M54="","",IF(M54="","",IF(OR(IFERROR(INDEX('Calibration Schedule'!J:J,MATCH(B54,'Calibration Schedule'!C:C,0)),"")="Sent for calibration",IFERROR(INDEX('Calibration Schedule'!J:J,MATCH(B54,'Calibration Schedule'!C:C,0)),"")="Scheduled for calibration"),IFERROR(INDEX('Calibration Schedule'!J:J,MATCH(B54,'Calibration Schedule'!C:C,0)),""),IF(M54&lt;TODAY(),"Expired",IF(M54&lt;=TODAY()+30,"Expiring Soon","Pass")))))</f>
        <v>Expired</v>
      </c>
      <c r="O54" s="10"/>
      <c r="P54" s="38"/>
      <c r="Q54" s="38"/>
      <c r="R54" s="52"/>
    </row>
    <row r="55" spans="1:18">
      <c r="A55" s="38">
        <f t="shared" si="0"/>
        <v>52</v>
      </c>
      <c r="B55" s="48" t="s">
        <v>209</v>
      </c>
      <c r="C55" s="42" t="s">
        <v>208</v>
      </c>
      <c r="D55" s="42" t="s">
        <v>32</v>
      </c>
      <c r="E55" s="41"/>
      <c r="F55" s="41"/>
      <c r="G55" s="41"/>
      <c r="H55" s="43"/>
      <c r="I55" s="34" t="s">
        <v>192</v>
      </c>
      <c r="J55" s="42"/>
      <c r="K55" s="42" t="s">
        <v>393</v>
      </c>
      <c r="L55" s="44"/>
      <c r="M55" s="40" t="str">
        <f t="shared" si="1"/>
        <v/>
      </c>
      <c r="N55" s="38" t="str">
        <f ca="1">IF(M55="","",IF(M55="","",IF(OR(IFERROR(INDEX('Calibration Schedule'!J:J,MATCH(B55,'Calibration Schedule'!C:C,0)),"")="Sent for calibration",IFERROR(INDEX('Calibration Schedule'!J:J,MATCH(B55,'Calibration Schedule'!C:C,0)),"")="Scheduled for calibration"),IFERROR(INDEX('Calibration Schedule'!J:J,MATCH(B55,'Calibration Schedule'!C:C,0)),""),IF(M55&lt;TODAY(),"Expired",IF(M55&lt;=TODAY()+30,"Expiring Soon","Pass")))))</f>
        <v/>
      </c>
      <c r="O55" s="43"/>
      <c r="P55" s="42"/>
      <c r="Q55" s="42" t="s">
        <v>199</v>
      </c>
      <c r="R55" s="52"/>
    </row>
    <row r="56" spans="1:18" ht="43.5">
      <c r="A56" s="38">
        <f t="shared" si="0"/>
        <v>53</v>
      </c>
      <c r="B56" s="47" t="s">
        <v>210</v>
      </c>
      <c r="C56" s="38" t="s">
        <v>211</v>
      </c>
      <c r="D56" s="38" t="s">
        <v>36</v>
      </c>
      <c r="E56" s="39" t="s">
        <v>212</v>
      </c>
      <c r="F56" s="39"/>
      <c r="G56" s="39"/>
      <c r="H56" s="10"/>
      <c r="I56" s="34" t="s">
        <v>192</v>
      </c>
      <c r="J56" s="38"/>
      <c r="K56" s="38" t="s">
        <v>393</v>
      </c>
      <c r="L56" s="40"/>
      <c r="M56" s="40" t="str">
        <f t="shared" si="1"/>
        <v/>
      </c>
      <c r="N56" s="38" t="str">
        <f ca="1">IF(M56="","",IF(M56="","",IF(OR(IFERROR(INDEX('Calibration Schedule'!J:J,MATCH(B56,'Calibration Schedule'!C:C,0)),"")="Sent for calibration",IFERROR(INDEX('Calibration Schedule'!J:J,MATCH(B56,'Calibration Schedule'!C:C,0)),"")="Scheduled for calibration"),IFERROR(INDEX('Calibration Schedule'!J:J,MATCH(B56,'Calibration Schedule'!C:C,0)),""),IF(M56&lt;TODAY(),"Expired",IF(M56&lt;=TODAY()+30,"Expiring Soon","Pass")))))</f>
        <v/>
      </c>
      <c r="O56" s="10"/>
      <c r="P56" s="38"/>
      <c r="Q56" s="38"/>
      <c r="R56" s="52"/>
    </row>
    <row r="57" spans="1:18">
      <c r="A57" s="38">
        <f t="shared" si="0"/>
        <v>54</v>
      </c>
      <c r="B57" s="41" t="s">
        <v>213</v>
      </c>
      <c r="C57" s="42" t="s">
        <v>214</v>
      </c>
      <c r="D57" s="42" t="s">
        <v>481</v>
      </c>
      <c r="E57" s="41"/>
      <c r="F57" s="41"/>
      <c r="G57" s="41"/>
      <c r="H57" s="43" t="s">
        <v>182</v>
      </c>
      <c r="I57" s="34" t="s">
        <v>192</v>
      </c>
      <c r="J57" s="42"/>
      <c r="K57" s="42" t="s">
        <v>393</v>
      </c>
      <c r="L57" s="44"/>
      <c r="M57" s="40" t="str">
        <f t="shared" si="1"/>
        <v/>
      </c>
      <c r="N57" s="38" t="str">
        <f ca="1">IF(M57="","",IF(M57="","",IF(OR(IFERROR(INDEX('Calibration Schedule'!J:J,MATCH(B57,'Calibration Schedule'!C:C,0)),"")="Sent for calibration",IFERROR(INDEX('Calibration Schedule'!J:J,MATCH(B57,'Calibration Schedule'!C:C,0)),"")="Scheduled for calibration"),IFERROR(INDEX('Calibration Schedule'!J:J,MATCH(B57,'Calibration Schedule'!C:C,0)),""),IF(M57&lt;TODAY(),"Expired",IF(M57&lt;=TODAY()+30,"Expiring Soon","Pass")))))</f>
        <v/>
      </c>
      <c r="O57" s="43"/>
      <c r="P57" s="42"/>
      <c r="Q57" s="42" t="s">
        <v>191</v>
      </c>
      <c r="R57" s="52">
        <v>58</v>
      </c>
    </row>
    <row r="58" spans="1:18">
      <c r="A58" s="38">
        <f t="shared" si="0"/>
        <v>55</v>
      </c>
      <c r="B58" s="39" t="s">
        <v>215</v>
      </c>
      <c r="C58" s="38" t="s">
        <v>216</v>
      </c>
      <c r="D58" s="38" t="s">
        <v>481</v>
      </c>
      <c r="E58" s="39"/>
      <c r="F58" s="39"/>
      <c r="G58" s="39"/>
      <c r="H58" s="10" t="s">
        <v>182</v>
      </c>
      <c r="I58" s="34" t="s">
        <v>192</v>
      </c>
      <c r="J58" s="38"/>
      <c r="K58" s="38"/>
      <c r="L58" s="40"/>
      <c r="M58" s="40">
        <f t="shared" si="1"/>
        <v>0</v>
      </c>
      <c r="N58" s="38" t="str">
        <f ca="1">IF(M58="","",IF(M58="","",IF(OR(IFERROR(INDEX('Calibration Schedule'!J:J,MATCH(B58,'Calibration Schedule'!C:C,0)),"")="Sent for calibration",IFERROR(INDEX('Calibration Schedule'!J:J,MATCH(B58,'Calibration Schedule'!C:C,0)),"")="Scheduled for calibration"),IFERROR(INDEX('Calibration Schedule'!J:J,MATCH(B58,'Calibration Schedule'!C:C,0)),""),IF(M58&lt;TODAY(),"Expired",IF(M58&lt;=TODAY()+30,"Expiring Soon","Pass")))))</f>
        <v>Expired</v>
      </c>
      <c r="O58" s="10"/>
      <c r="P58" s="38"/>
      <c r="Q58" s="38" t="s">
        <v>199</v>
      </c>
      <c r="R58" s="52">
        <v>14</v>
      </c>
    </row>
    <row r="59" spans="1:18">
      <c r="A59" s="38">
        <f t="shared" si="0"/>
        <v>56</v>
      </c>
      <c r="B59" s="41" t="s">
        <v>217</v>
      </c>
      <c r="C59" s="42" t="s">
        <v>218</v>
      </c>
      <c r="D59" s="42" t="s">
        <v>483</v>
      </c>
      <c r="E59" s="41"/>
      <c r="F59" s="41"/>
      <c r="G59" s="41"/>
      <c r="H59" s="43" t="s">
        <v>182</v>
      </c>
      <c r="I59" s="34" t="s">
        <v>192</v>
      </c>
      <c r="J59" s="42"/>
      <c r="K59" s="42" t="s">
        <v>393</v>
      </c>
      <c r="L59" s="44"/>
      <c r="M59" s="40" t="str">
        <f t="shared" si="1"/>
        <v/>
      </c>
      <c r="N59" s="38" t="str">
        <f ca="1">IF(M59="","",IF(M59="","",IF(OR(IFERROR(INDEX('Calibration Schedule'!J:J,MATCH(B59,'Calibration Schedule'!C:C,0)),"")="Sent for calibration",IFERROR(INDEX('Calibration Schedule'!J:J,MATCH(B59,'Calibration Schedule'!C:C,0)),"")="Scheduled for calibration"),IFERROR(INDEX('Calibration Schedule'!J:J,MATCH(B59,'Calibration Schedule'!C:C,0)),""),IF(M59&lt;TODAY(),"Expired",IF(M59&lt;=TODAY()+30,"Expiring Soon","Pass")))))</f>
        <v/>
      </c>
      <c r="O59" s="43"/>
      <c r="P59" s="42"/>
      <c r="Q59" s="42"/>
      <c r="R59" s="52">
        <v>28</v>
      </c>
    </row>
    <row r="60" spans="1:18">
      <c r="A60" s="38">
        <f t="shared" si="0"/>
        <v>57</v>
      </c>
      <c r="B60" s="39" t="s">
        <v>219</v>
      </c>
      <c r="C60" s="38" t="s">
        <v>220</v>
      </c>
      <c r="D60" s="38" t="s">
        <v>483</v>
      </c>
      <c r="E60" s="39"/>
      <c r="F60" s="39"/>
      <c r="G60" s="39"/>
      <c r="H60" s="10" t="s">
        <v>182</v>
      </c>
      <c r="I60" s="34" t="s">
        <v>192</v>
      </c>
      <c r="J60" s="38"/>
      <c r="K60" s="38" t="s">
        <v>393</v>
      </c>
      <c r="L60" s="40"/>
      <c r="M60" s="40" t="str">
        <f t="shared" si="1"/>
        <v/>
      </c>
      <c r="N60" s="38" t="str">
        <f ca="1">IF(M60="","",IF(M60="","",IF(OR(IFERROR(INDEX('Calibration Schedule'!J:J,MATCH(B60,'Calibration Schedule'!C:C,0)),"")="Sent for calibration",IFERROR(INDEX('Calibration Schedule'!J:J,MATCH(B60,'Calibration Schedule'!C:C,0)),"")="Scheduled for calibration"),IFERROR(INDEX('Calibration Schedule'!J:J,MATCH(B60,'Calibration Schedule'!C:C,0)),""),IF(M60&lt;TODAY(),"Expired",IF(M60&lt;=TODAY()+30,"Expiring Soon","Pass")))))</f>
        <v/>
      </c>
      <c r="O60" s="10"/>
      <c r="P60" s="38"/>
      <c r="Q60" s="38"/>
      <c r="R60" s="52">
        <v>48</v>
      </c>
    </row>
    <row r="61" spans="1:18">
      <c r="A61" s="38">
        <f t="shared" si="0"/>
        <v>58</v>
      </c>
      <c r="B61" s="41" t="s">
        <v>221</v>
      </c>
      <c r="C61" s="42" t="s">
        <v>222</v>
      </c>
      <c r="D61" s="42" t="s">
        <v>36</v>
      </c>
      <c r="E61" s="41"/>
      <c r="F61" s="41"/>
      <c r="G61" s="41"/>
      <c r="H61" s="43" t="s">
        <v>223</v>
      </c>
      <c r="I61" s="34" t="s">
        <v>192</v>
      </c>
      <c r="J61" s="42"/>
      <c r="K61" s="42" t="s">
        <v>393</v>
      </c>
      <c r="L61" s="44"/>
      <c r="M61" s="40" t="str">
        <f t="shared" si="1"/>
        <v/>
      </c>
      <c r="N61" s="38" t="str">
        <f ca="1">IF(M61="","",IF(M61="","",IF(OR(IFERROR(INDEX('Calibration Schedule'!J:J,MATCH(B61,'Calibration Schedule'!C:C,0)),"")="Sent for calibration",IFERROR(INDEX('Calibration Schedule'!J:J,MATCH(B61,'Calibration Schedule'!C:C,0)),"")="Scheduled for calibration"),IFERROR(INDEX('Calibration Schedule'!J:J,MATCH(B61,'Calibration Schedule'!C:C,0)),""),IF(M61&lt;TODAY(),"Expired",IF(M61&lt;=TODAY()+30,"Expiring Soon","Pass")))))</f>
        <v/>
      </c>
      <c r="O61" s="43"/>
      <c r="P61" s="42"/>
      <c r="Q61" s="42"/>
      <c r="R61" s="52">
        <v>84</v>
      </c>
    </row>
    <row r="62" spans="1:18">
      <c r="A62" s="38">
        <f t="shared" si="0"/>
        <v>59</v>
      </c>
      <c r="B62" s="39" t="s">
        <v>224</v>
      </c>
      <c r="C62" s="38" t="s">
        <v>117</v>
      </c>
      <c r="D62" s="38" t="s">
        <v>36</v>
      </c>
      <c r="E62" s="39"/>
      <c r="F62" s="39"/>
      <c r="G62" s="39"/>
      <c r="H62" s="51" t="s">
        <v>182</v>
      </c>
      <c r="I62" s="34" t="s">
        <v>192</v>
      </c>
      <c r="J62" s="38"/>
      <c r="K62" s="38" t="s">
        <v>393</v>
      </c>
      <c r="L62" s="40"/>
      <c r="M62" s="40" t="str">
        <f t="shared" si="1"/>
        <v/>
      </c>
      <c r="N62" s="38" t="str">
        <f ca="1">IF(M62="","",IF(M62="","",IF(OR(IFERROR(INDEX('Calibration Schedule'!J:J,MATCH(B62,'Calibration Schedule'!C:C,0)),"")="Sent for calibration",IFERROR(INDEX('Calibration Schedule'!J:J,MATCH(B62,'Calibration Schedule'!C:C,0)),"")="Scheduled for calibration"),IFERROR(INDEX('Calibration Schedule'!J:J,MATCH(B62,'Calibration Schedule'!C:C,0)),""),IF(M62&lt;TODAY(),"Expired",IF(M62&lt;=TODAY()+30,"Expiring Soon","Pass")))))</f>
        <v/>
      </c>
      <c r="O62" s="10"/>
      <c r="P62" s="38"/>
      <c r="Q62" s="38"/>
      <c r="R62" s="52">
        <v>17</v>
      </c>
    </row>
    <row r="63" spans="1:18">
      <c r="A63" s="38">
        <f t="shared" si="0"/>
        <v>60</v>
      </c>
      <c r="B63" s="41" t="s">
        <v>225</v>
      </c>
      <c r="C63" s="42" t="s">
        <v>117</v>
      </c>
      <c r="D63" s="42" t="s">
        <v>36</v>
      </c>
      <c r="E63" s="41"/>
      <c r="F63" s="41"/>
      <c r="G63" s="41"/>
      <c r="H63" s="51" t="s">
        <v>182</v>
      </c>
      <c r="I63" s="34" t="s">
        <v>192</v>
      </c>
      <c r="J63" s="42"/>
      <c r="K63" s="42" t="s">
        <v>393</v>
      </c>
      <c r="L63" s="44"/>
      <c r="M63" s="40" t="str">
        <f t="shared" si="1"/>
        <v/>
      </c>
      <c r="N63" s="38" t="str">
        <f ca="1">IF(M63="","",IF(M63="","",IF(OR(IFERROR(INDEX('Calibration Schedule'!J:J,MATCH(B63,'Calibration Schedule'!C:C,0)),"")="Sent for calibration",IFERROR(INDEX('Calibration Schedule'!J:J,MATCH(B63,'Calibration Schedule'!C:C,0)),"")="Scheduled for calibration"),IFERROR(INDEX('Calibration Schedule'!J:J,MATCH(B63,'Calibration Schedule'!C:C,0)),""),IF(M63&lt;TODAY(),"Expired",IF(M63&lt;=TODAY()+30,"Expiring Soon","Pass")))))</f>
        <v/>
      </c>
      <c r="O63" s="43"/>
      <c r="P63" s="42"/>
      <c r="Q63" s="42"/>
      <c r="R63" s="52">
        <v>18</v>
      </c>
    </row>
    <row r="64" spans="1:18">
      <c r="A64" s="38">
        <f t="shared" si="0"/>
        <v>61</v>
      </c>
      <c r="B64" s="39" t="s">
        <v>226</v>
      </c>
      <c r="C64" s="38" t="s">
        <v>227</v>
      </c>
      <c r="D64" s="38" t="s">
        <v>36</v>
      </c>
      <c r="E64" s="39"/>
      <c r="F64" s="39"/>
      <c r="G64" s="39"/>
      <c r="H64" s="51" t="s">
        <v>182</v>
      </c>
      <c r="I64" s="34" t="s">
        <v>192</v>
      </c>
      <c r="J64" s="38"/>
      <c r="K64" s="38" t="s">
        <v>393</v>
      </c>
      <c r="L64" s="40"/>
      <c r="M64" s="40" t="str">
        <f t="shared" si="1"/>
        <v/>
      </c>
      <c r="N64" s="38" t="str">
        <f ca="1">IF(M64="","",IF(M64="","",IF(OR(IFERROR(INDEX('Calibration Schedule'!J:J,MATCH(B64,'Calibration Schedule'!C:C,0)),"")="Sent for calibration",IFERROR(INDEX('Calibration Schedule'!J:J,MATCH(B64,'Calibration Schedule'!C:C,0)),"")="Scheduled for calibration"),IFERROR(INDEX('Calibration Schedule'!J:J,MATCH(B64,'Calibration Schedule'!C:C,0)),""),IF(M64&lt;TODAY(),"Expired",IF(M64&lt;=TODAY()+30,"Expiring Soon","Pass")))))</f>
        <v/>
      </c>
      <c r="O64" s="10"/>
      <c r="P64" s="38"/>
      <c r="Q64" s="38"/>
      <c r="R64" s="52">
        <v>85</v>
      </c>
    </row>
    <row r="65" spans="1:18">
      <c r="A65" s="38">
        <f t="shared" si="0"/>
        <v>62</v>
      </c>
      <c r="B65" s="41" t="s">
        <v>228</v>
      </c>
      <c r="C65" s="36" t="s">
        <v>234</v>
      </c>
      <c r="D65" s="42" t="s">
        <v>36</v>
      </c>
      <c r="E65" s="41"/>
      <c r="F65" s="41"/>
      <c r="G65" s="41"/>
      <c r="H65" s="51" t="s">
        <v>182</v>
      </c>
      <c r="I65" s="34" t="s">
        <v>192</v>
      </c>
      <c r="J65" s="42"/>
      <c r="K65" s="42" t="s">
        <v>393</v>
      </c>
      <c r="L65" s="44"/>
      <c r="M65" s="40" t="str">
        <f t="shared" si="1"/>
        <v/>
      </c>
      <c r="N65" s="38" t="str">
        <f ca="1">IF(M65="","",IF(M65="","",IF(OR(IFERROR(INDEX('Calibration Schedule'!J:J,MATCH(B65,'Calibration Schedule'!C:C,0)),"")="Sent for calibration",IFERROR(INDEX('Calibration Schedule'!J:J,MATCH(B65,'Calibration Schedule'!C:C,0)),"")="Scheduled for calibration"),IFERROR(INDEX('Calibration Schedule'!J:J,MATCH(B65,'Calibration Schedule'!C:C,0)),""),IF(M65&lt;TODAY(),"Expired",IF(M65&lt;=TODAY()+30,"Expiring Soon","Pass")))))</f>
        <v/>
      </c>
      <c r="O65" s="43"/>
      <c r="P65" s="42"/>
      <c r="Q65" s="42"/>
      <c r="R65" s="52">
        <v>29</v>
      </c>
    </row>
    <row r="66" spans="1:18">
      <c r="A66" s="38">
        <f t="shared" si="0"/>
        <v>63</v>
      </c>
      <c r="B66" s="41" t="s">
        <v>229</v>
      </c>
      <c r="C66" s="36" t="s">
        <v>234</v>
      </c>
      <c r="D66" s="38" t="s">
        <v>36</v>
      </c>
      <c r="E66" s="39"/>
      <c r="F66" s="39"/>
      <c r="G66" s="39"/>
      <c r="H66" s="51" t="s">
        <v>182</v>
      </c>
      <c r="I66" s="34" t="s">
        <v>192</v>
      </c>
      <c r="J66" s="38"/>
      <c r="K66" s="38" t="s">
        <v>393</v>
      </c>
      <c r="L66" s="40"/>
      <c r="M66" s="40" t="str">
        <f t="shared" si="1"/>
        <v/>
      </c>
      <c r="N66" s="38" t="str">
        <f ca="1">IF(M66="","",IF(M66="","",IF(OR(IFERROR(INDEX('Calibration Schedule'!J:J,MATCH(B66,'Calibration Schedule'!C:C,0)),"")="Sent for calibration",IFERROR(INDEX('Calibration Schedule'!J:J,MATCH(B66,'Calibration Schedule'!C:C,0)),"")="Scheduled for calibration"),IFERROR(INDEX('Calibration Schedule'!J:J,MATCH(B66,'Calibration Schedule'!C:C,0)),""),IF(M66&lt;TODAY(),"Expired",IF(M66&lt;=TODAY()+30,"Expiring Soon","Pass")))))</f>
        <v/>
      </c>
      <c r="O66" s="10"/>
      <c r="P66" s="38"/>
      <c r="Q66" s="38"/>
      <c r="R66" s="52">
        <v>30</v>
      </c>
    </row>
    <row r="67" spans="1:18">
      <c r="A67" s="38">
        <f t="shared" si="0"/>
        <v>64</v>
      </c>
      <c r="B67" s="41" t="s">
        <v>230</v>
      </c>
      <c r="C67" s="36" t="s">
        <v>234</v>
      </c>
      <c r="D67" s="42" t="s">
        <v>36</v>
      </c>
      <c r="E67" s="41"/>
      <c r="F67" s="41"/>
      <c r="G67" s="41"/>
      <c r="H67" s="51" t="s">
        <v>182</v>
      </c>
      <c r="I67" s="34" t="s">
        <v>192</v>
      </c>
      <c r="J67" s="42"/>
      <c r="K67" s="42" t="s">
        <v>393</v>
      </c>
      <c r="L67" s="44"/>
      <c r="M67" s="40" t="str">
        <f t="shared" si="1"/>
        <v/>
      </c>
      <c r="N67" s="38" t="str">
        <f ca="1">IF(M67="","",IF(M67="","",IF(OR(IFERROR(INDEX('Calibration Schedule'!J:J,MATCH(B67,'Calibration Schedule'!C:C,0)),"")="Sent for calibration",IFERROR(INDEX('Calibration Schedule'!J:J,MATCH(B67,'Calibration Schedule'!C:C,0)),"")="Scheduled for calibration"),IFERROR(INDEX('Calibration Schedule'!J:J,MATCH(B67,'Calibration Schedule'!C:C,0)),""),IF(M67&lt;TODAY(),"Expired",IF(M67&lt;=TODAY()+30,"Expiring Soon","Pass")))))</f>
        <v/>
      </c>
      <c r="O67" s="43"/>
      <c r="P67" s="42"/>
      <c r="Q67" s="42"/>
      <c r="R67" s="52">
        <v>31</v>
      </c>
    </row>
    <row r="68" spans="1:18">
      <c r="A68" s="38">
        <f t="shared" ref="A68:A131" si="2">IF(B68="","",ROW(B68)-3)</f>
        <v>65</v>
      </c>
      <c r="B68" s="41" t="s">
        <v>231</v>
      </c>
      <c r="C68" s="36" t="s">
        <v>234</v>
      </c>
      <c r="D68" s="38" t="s">
        <v>36</v>
      </c>
      <c r="E68" s="39"/>
      <c r="F68" s="39"/>
      <c r="G68" s="39"/>
      <c r="H68" s="51" t="s">
        <v>182</v>
      </c>
      <c r="I68" s="34" t="s">
        <v>192</v>
      </c>
      <c r="J68" s="38"/>
      <c r="K68" s="38" t="s">
        <v>393</v>
      </c>
      <c r="L68" s="40"/>
      <c r="M68" s="40" t="str">
        <f t="shared" si="1"/>
        <v/>
      </c>
      <c r="N68" s="38" t="str">
        <f ca="1">IF(M68="","",IF(M68="","",IF(OR(IFERROR(INDEX('Calibration Schedule'!J:J,MATCH(B68,'Calibration Schedule'!C:C,0)),"")="Sent for calibration",IFERROR(INDEX('Calibration Schedule'!J:J,MATCH(B68,'Calibration Schedule'!C:C,0)),"")="Scheduled for calibration"),IFERROR(INDEX('Calibration Schedule'!J:J,MATCH(B68,'Calibration Schedule'!C:C,0)),""),IF(M68&lt;TODAY(),"Expired",IF(M68&lt;=TODAY()+30,"Expiring Soon","Pass")))))</f>
        <v/>
      </c>
      <c r="O68" s="10"/>
      <c r="P68" s="38"/>
      <c r="Q68" s="38"/>
      <c r="R68" s="52">
        <v>32</v>
      </c>
    </row>
    <row r="69" spans="1:18">
      <c r="A69" s="38">
        <f t="shared" si="2"/>
        <v>66</v>
      </c>
      <c r="B69" s="41" t="s">
        <v>232</v>
      </c>
      <c r="C69" s="36" t="s">
        <v>234</v>
      </c>
      <c r="D69" s="42" t="s">
        <v>36</v>
      </c>
      <c r="E69" s="41"/>
      <c r="F69" s="41"/>
      <c r="G69" s="41"/>
      <c r="H69" s="51" t="s">
        <v>182</v>
      </c>
      <c r="I69" s="34" t="s">
        <v>192</v>
      </c>
      <c r="J69" s="42"/>
      <c r="K69" s="42" t="s">
        <v>393</v>
      </c>
      <c r="L69" s="44"/>
      <c r="M69" s="40" t="str">
        <f t="shared" ref="M69:M132" si="3">IF(B69="","",IF(K69="Not Eligible","",IFERROR(EDATE(L69,K69),"")))</f>
        <v/>
      </c>
      <c r="N69" s="38" t="str">
        <f ca="1">IF(M69="","",IF(M69="","",IF(OR(IFERROR(INDEX('Calibration Schedule'!J:J,MATCH(B69,'Calibration Schedule'!C:C,0)),"")="Sent for calibration",IFERROR(INDEX('Calibration Schedule'!J:J,MATCH(B69,'Calibration Schedule'!C:C,0)),"")="Scheduled for calibration"),IFERROR(INDEX('Calibration Schedule'!J:J,MATCH(B69,'Calibration Schedule'!C:C,0)),""),IF(M69&lt;TODAY(),"Expired",IF(M69&lt;=TODAY()+30,"Expiring Soon","Pass")))))</f>
        <v/>
      </c>
      <c r="O69" s="43"/>
      <c r="P69" s="42"/>
      <c r="Q69" s="42"/>
      <c r="R69" s="52">
        <v>33</v>
      </c>
    </row>
    <row r="70" spans="1:18">
      <c r="A70" s="38">
        <f t="shared" si="2"/>
        <v>67</v>
      </c>
      <c r="B70" s="41" t="s">
        <v>233</v>
      </c>
      <c r="C70" s="36" t="s">
        <v>234</v>
      </c>
      <c r="D70" s="38" t="s">
        <v>36</v>
      </c>
      <c r="E70" s="39"/>
      <c r="F70" s="39"/>
      <c r="G70" s="39"/>
      <c r="H70" s="51" t="s">
        <v>182</v>
      </c>
      <c r="I70" s="34" t="s">
        <v>192</v>
      </c>
      <c r="J70" s="38"/>
      <c r="K70" s="38" t="s">
        <v>393</v>
      </c>
      <c r="L70" s="40"/>
      <c r="M70" s="40" t="str">
        <f t="shared" si="3"/>
        <v/>
      </c>
      <c r="N70" s="38" t="str">
        <f ca="1">IF(M70="","",IF(M70="","",IF(OR(IFERROR(INDEX('Calibration Schedule'!J:J,MATCH(B70,'Calibration Schedule'!C:C,0)),"")="Sent for calibration",IFERROR(INDEX('Calibration Schedule'!J:J,MATCH(B70,'Calibration Schedule'!C:C,0)),"")="Scheduled for calibration"),IFERROR(INDEX('Calibration Schedule'!J:J,MATCH(B70,'Calibration Schedule'!C:C,0)),""),IF(M70&lt;TODAY(),"Expired",IF(M70&lt;=TODAY()+30,"Expiring Soon","Pass")))))</f>
        <v/>
      </c>
      <c r="O70" s="10"/>
      <c r="P70" s="38"/>
      <c r="Q70" s="38"/>
      <c r="R70" s="52">
        <v>34</v>
      </c>
    </row>
    <row r="71" spans="1:18">
      <c r="A71" s="38">
        <f t="shared" si="2"/>
        <v>68</v>
      </c>
      <c r="B71" s="41" t="s">
        <v>235</v>
      </c>
      <c r="C71" s="36" t="s">
        <v>222</v>
      </c>
      <c r="D71" s="42" t="s">
        <v>36</v>
      </c>
      <c r="E71" s="41"/>
      <c r="F71" s="41"/>
      <c r="G71" s="41"/>
      <c r="H71" s="51" t="s">
        <v>182</v>
      </c>
      <c r="I71" s="34" t="s">
        <v>192</v>
      </c>
      <c r="J71" s="42"/>
      <c r="K71" s="42" t="s">
        <v>393</v>
      </c>
      <c r="L71" s="44"/>
      <c r="M71" s="40" t="str">
        <f t="shared" si="3"/>
        <v/>
      </c>
      <c r="N71" s="38" t="str">
        <f ca="1">IF(M71="","",IF(M71="","",IF(OR(IFERROR(INDEX('Calibration Schedule'!J:J,MATCH(B71,'Calibration Schedule'!C:C,0)),"")="Sent for calibration",IFERROR(INDEX('Calibration Schedule'!J:J,MATCH(B71,'Calibration Schedule'!C:C,0)),"")="Scheduled for calibration"),IFERROR(INDEX('Calibration Schedule'!J:J,MATCH(B71,'Calibration Schedule'!C:C,0)),""),IF(M71&lt;TODAY(),"Expired",IF(M71&lt;=TODAY()+30,"Expiring Soon","Pass")))))</f>
        <v/>
      </c>
      <c r="O71" s="43"/>
      <c r="P71" s="42"/>
      <c r="Q71" s="42"/>
      <c r="R71" s="52">
        <v>61</v>
      </c>
    </row>
    <row r="72" spans="1:18">
      <c r="A72" s="38">
        <f t="shared" si="2"/>
        <v>69</v>
      </c>
      <c r="B72" s="39" t="s">
        <v>236</v>
      </c>
      <c r="C72" s="36" t="s">
        <v>222</v>
      </c>
      <c r="D72" s="38" t="s">
        <v>36</v>
      </c>
      <c r="E72" s="39"/>
      <c r="F72" s="39"/>
      <c r="G72" s="39"/>
      <c r="H72" s="51" t="s">
        <v>182</v>
      </c>
      <c r="I72" s="34" t="s">
        <v>192</v>
      </c>
      <c r="J72" s="38"/>
      <c r="K72" s="38" t="s">
        <v>393</v>
      </c>
      <c r="L72" s="40"/>
      <c r="M72" s="40" t="str">
        <f t="shared" si="3"/>
        <v/>
      </c>
      <c r="N72" s="38" t="str">
        <f ca="1">IF(M72="","",IF(M72="","",IF(OR(IFERROR(INDEX('Calibration Schedule'!J:J,MATCH(B72,'Calibration Schedule'!C:C,0)),"")="Sent for calibration",IFERROR(INDEX('Calibration Schedule'!J:J,MATCH(B72,'Calibration Schedule'!C:C,0)),"")="Scheduled for calibration"),IFERROR(INDEX('Calibration Schedule'!J:J,MATCH(B72,'Calibration Schedule'!C:C,0)),""),IF(M72&lt;TODAY(),"Expired",IF(M72&lt;=TODAY()+30,"Expiring Soon","Pass")))))</f>
        <v/>
      </c>
      <c r="O72" s="10"/>
      <c r="P72" s="38"/>
      <c r="Q72" s="38"/>
      <c r="R72" s="52">
        <v>62</v>
      </c>
    </row>
    <row r="73" spans="1:18">
      <c r="A73" s="38">
        <f t="shared" si="2"/>
        <v>70</v>
      </c>
      <c r="B73" s="41" t="s">
        <v>237</v>
      </c>
      <c r="C73" s="36" t="s">
        <v>222</v>
      </c>
      <c r="D73" s="42" t="s">
        <v>36</v>
      </c>
      <c r="E73" s="41"/>
      <c r="F73" s="41"/>
      <c r="G73" s="41"/>
      <c r="H73" s="51" t="s">
        <v>182</v>
      </c>
      <c r="I73" s="34" t="s">
        <v>192</v>
      </c>
      <c r="J73" s="42"/>
      <c r="K73" s="42" t="s">
        <v>393</v>
      </c>
      <c r="L73" s="44"/>
      <c r="M73" s="40" t="str">
        <f t="shared" si="3"/>
        <v/>
      </c>
      <c r="N73" s="38" t="str">
        <f ca="1">IF(M73="","",IF(M73="","",IF(OR(IFERROR(INDEX('Calibration Schedule'!J:J,MATCH(B73,'Calibration Schedule'!C:C,0)),"")="Sent for calibration",IFERROR(INDEX('Calibration Schedule'!J:J,MATCH(B73,'Calibration Schedule'!C:C,0)),"")="Scheduled for calibration"),IFERROR(INDEX('Calibration Schedule'!J:J,MATCH(B73,'Calibration Schedule'!C:C,0)),""),IF(M73&lt;TODAY(),"Expired",IF(M73&lt;=TODAY()+30,"Expiring Soon","Pass")))))</f>
        <v/>
      </c>
      <c r="O73" s="43"/>
      <c r="P73" s="42"/>
      <c r="Q73" s="42"/>
      <c r="R73" s="52">
        <v>63</v>
      </c>
    </row>
    <row r="74" spans="1:18">
      <c r="A74" s="38">
        <f t="shared" si="2"/>
        <v>71</v>
      </c>
      <c r="B74" s="39" t="s">
        <v>238</v>
      </c>
      <c r="C74" s="36" t="s">
        <v>222</v>
      </c>
      <c r="D74" s="38" t="s">
        <v>36</v>
      </c>
      <c r="E74" s="39"/>
      <c r="F74" s="39"/>
      <c r="G74" s="39"/>
      <c r="H74" s="51" t="s">
        <v>223</v>
      </c>
      <c r="I74" s="34" t="s">
        <v>192</v>
      </c>
      <c r="J74" s="38"/>
      <c r="K74" s="38" t="s">
        <v>393</v>
      </c>
      <c r="L74" s="40"/>
      <c r="M74" s="40" t="str">
        <f t="shared" si="3"/>
        <v/>
      </c>
      <c r="N74" s="38" t="str">
        <f ca="1">IF(M74="","",IF(M74="","",IF(OR(IFERROR(INDEX('Calibration Schedule'!J:J,MATCH(B74,'Calibration Schedule'!C:C,0)),"")="Sent for calibration",IFERROR(INDEX('Calibration Schedule'!J:J,MATCH(B74,'Calibration Schedule'!C:C,0)),"")="Scheduled for calibration"),IFERROR(INDEX('Calibration Schedule'!J:J,MATCH(B74,'Calibration Schedule'!C:C,0)),""),IF(M74&lt;TODAY(),"Expired",IF(M74&lt;=TODAY()+30,"Expiring Soon","Pass")))))</f>
        <v/>
      </c>
      <c r="O74" s="10"/>
      <c r="P74" s="38"/>
      <c r="Q74" s="38"/>
      <c r="R74" s="52">
        <v>64</v>
      </c>
    </row>
    <row r="75" spans="1:18">
      <c r="A75" s="38">
        <f t="shared" si="2"/>
        <v>72</v>
      </c>
      <c r="B75" s="41" t="s">
        <v>240</v>
      </c>
      <c r="C75" s="42" t="s">
        <v>244</v>
      </c>
      <c r="D75" s="42" t="s">
        <v>32</v>
      </c>
      <c r="E75" s="41"/>
      <c r="F75" s="41"/>
      <c r="G75" s="41"/>
      <c r="H75" s="51" t="s">
        <v>223</v>
      </c>
      <c r="I75" s="36" t="s">
        <v>187</v>
      </c>
      <c r="J75" s="42"/>
      <c r="K75" s="42" t="s">
        <v>393</v>
      </c>
      <c r="L75" s="44"/>
      <c r="M75" s="40" t="str">
        <f t="shared" si="3"/>
        <v/>
      </c>
      <c r="N75" s="38" t="str">
        <f ca="1">IF(M75="","",IF(M75="","",IF(OR(IFERROR(INDEX('Calibration Schedule'!J:J,MATCH(B75,'Calibration Schedule'!C:C,0)),"")="Sent for calibration",IFERROR(INDEX('Calibration Schedule'!J:J,MATCH(B75,'Calibration Schedule'!C:C,0)),"")="Scheduled for calibration"),IFERROR(INDEX('Calibration Schedule'!J:J,MATCH(B75,'Calibration Schedule'!C:C,0)),""),IF(M75&lt;TODAY(),"Expired",IF(M75&lt;=TODAY()+30,"Expiring Soon","Pass")))))</f>
        <v/>
      </c>
      <c r="O75" s="43"/>
      <c r="P75" s="42"/>
      <c r="Q75" s="42" t="s">
        <v>199</v>
      </c>
      <c r="R75" s="52">
        <v>4</v>
      </c>
    </row>
    <row r="76" spans="1:18">
      <c r="A76" s="38">
        <f t="shared" si="2"/>
        <v>73</v>
      </c>
      <c r="B76" s="39" t="s">
        <v>241</v>
      </c>
      <c r="C76" s="38" t="s">
        <v>239</v>
      </c>
      <c r="D76" s="38" t="s">
        <v>32</v>
      </c>
      <c r="E76" s="39"/>
      <c r="F76" s="39"/>
      <c r="G76" s="39" t="s">
        <v>246</v>
      </c>
      <c r="H76" s="51" t="s">
        <v>223</v>
      </c>
      <c r="I76" s="36" t="s">
        <v>187</v>
      </c>
      <c r="J76" s="38"/>
      <c r="K76" s="38"/>
      <c r="L76" s="40"/>
      <c r="M76" s="40">
        <f t="shared" si="3"/>
        <v>0</v>
      </c>
      <c r="N76" s="38" t="str">
        <f ca="1">IF(M76="","",IF(M76="","",IF(OR(IFERROR(INDEX('Calibration Schedule'!J:J,MATCH(B76,'Calibration Schedule'!C:C,0)),"")="Sent for calibration",IFERROR(INDEX('Calibration Schedule'!J:J,MATCH(B76,'Calibration Schedule'!C:C,0)),"")="Scheduled for calibration"),IFERROR(INDEX('Calibration Schedule'!J:J,MATCH(B76,'Calibration Schedule'!C:C,0)),""),IF(M76&lt;TODAY(),"Expired",IF(M76&lt;=TODAY()+30,"Expiring Soon","Pass")))))</f>
        <v>Expired</v>
      </c>
      <c r="O76" s="10"/>
      <c r="P76" s="38"/>
      <c r="Q76" s="38"/>
      <c r="R76" s="52">
        <v>23</v>
      </c>
    </row>
    <row r="77" spans="1:18">
      <c r="A77" s="38">
        <f t="shared" si="2"/>
        <v>74</v>
      </c>
      <c r="B77" s="41" t="s">
        <v>242</v>
      </c>
      <c r="C77" s="42" t="s">
        <v>245</v>
      </c>
      <c r="D77" s="42" t="s">
        <v>32</v>
      </c>
      <c r="E77" s="41"/>
      <c r="F77" s="41"/>
      <c r="G77" s="41"/>
      <c r="H77" s="51" t="s">
        <v>223</v>
      </c>
      <c r="I77" s="36" t="s">
        <v>187</v>
      </c>
      <c r="J77" s="42"/>
      <c r="K77" s="42" t="s">
        <v>393</v>
      </c>
      <c r="L77" s="44"/>
      <c r="M77" s="40" t="str">
        <f t="shared" si="3"/>
        <v/>
      </c>
      <c r="N77" s="38" t="str">
        <f ca="1">IF(M77="","",IF(M77="","",IF(OR(IFERROR(INDEX('Calibration Schedule'!J:J,MATCH(B77,'Calibration Schedule'!C:C,0)),"")="Sent for calibration",IFERROR(INDEX('Calibration Schedule'!J:J,MATCH(B77,'Calibration Schedule'!C:C,0)),"")="Scheduled for calibration"),IFERROR(INDEX('Calibration Schedule'!J:J,MATCH(B77,'Calibration Schedule'!C:C,0)),""),IF(M77&lt;TODAY(),"Expired",IF(M77&lt;=TODAY()+30,"Expiring Soon","Pass")))))</f>
        <v/>
      </c>
      <c r="O77" s="43"/>
      <c r="P77" s="42"/>
      <c r="Q77" s="42"/>
      <c r="R77" s="52">
        <v>47</v>
      </c>
    </row>
    <row r="78" spans="1:18">
      <c r="A78" s="38">
        <f t="shared" si="2"/>
        <v>75</v>
      </c>
      <c r="B78" s="39" t="s">
        <v>243</v>
      </c>
      <c r="C78" s="38" t="s">
        <v>244</v>
      </c>
      <c r="D78" s="38" t="s">
        <v>32</v>
      </c>
      <c r="E78" s="39"/>
      <c r="F78" s="39"/>
      <c r="G78" s="39"/>
      <c r="H78" s="51" t="s">
        <v>223</v>
      </c>
      <c r="I78" s="36" t="s">
        <v>187</v>
      </c>
      <c r="J78" s="38"/>
      <c r="K78" s="38" t="s">
        <v>393</v>
      </c>
      <c r="L78" s="40"/>
      <c r="M78" s="40" t="str">
        <f t="shared" si="3"/>
        <v/>
      </c>
      <c r="N78" s="38" t="str">
        <f ca="1">IF(M78="","",IF(M78="","",IF(OR(IFERROR(INDEX('Calibration Schedule'!J:J,MATCH(B78,'Calibration Schedule'!C:C,0)),"")="Sent for calibration",IFERROR(INDEX('Calibration Schedule'!J:J,MATCH(B78,'Calibration Schedule'!C:C,0)),"")="Scheduled for calibration"),IFERROR(INDEX('Calibration Schedule'!J:J,MATCH(B78,'Calibration Schedule'!C:C,0)),""),IF(M78&lt;TODAY(),"Expired",IF(M78&lt;=TODAY()+30,"Expiring Soon","Pass")))))</f>
        <v/>
      </c>
      <c r="O78" s="10"/>
      <c r="P78" s="38"/>
      <c r="Q78" s="38"/>
      <c r="R78" s="52">
        <v>72</v>
      </c>
    </row>
    <row r="79" spans="1:18">
      <c r="A79" s="38">
        <f t="shared" si="2"/>
        <v>76</v>
      </c>
      <c r="B79" s="41" t="s">
        <v>247</v>
      </c>
      <c r="C79" s="42" t="s">
        <v>248</v>
      </c>
      <c r="D79" s="42" t="s">
        <v>483</v>
      </c>
      <c r="E79" s="41"/>
      <c r="F79" s="41"/>
      <c r="G79" s="41"/>
      <c r="H79" s="43" t="s">
        <v>249</v>
      </c>
      <c r="I79" s="36" t="s">
        <v>192</v>
      </c>
      <c r="J79" s="42"/>
      <c r="K79" s="42" t="s">
        <v>393</v>
      </c>
      <c r="L79" s="44"/>
      <c r="M79" s="40" t="str">
        <f t="shared" si="3"/>
        <v/>
      </c>
      <c r="N79" s="38" t="str">
        <f ca="1">IF(M79="","",IF(M79="","",IF(OR(IFERROR(INDEX('Calibration Schedule'!J:J,MATCH(B79,'Calibration Schedule'!C:C,0)),"")="Sent for calibration",IFERROR(INDEX('Calibration Schedule'!J:J,MATCH(B79,'Calibration Schedule'!C:C,0)),"")="Scheduled for calibration"),IFERROR(INDEX('Calibration Schedule'!J:J,MATCH(B79,'Calibration Schedule'!C:C,0)),""),IF(M79&lt;TODAY(),"Expired",IF(M79&lt;=TODAY()+30,"Expiring Soon","Pass")))))</f>
        <v/>
      </c>
      <c r="O79" s="43"/>
      <c r="P79" s="42"/>
      <c r="Q79" s="42"/>
      <c r="R79" s="52">
        <v>77</v>
      </c>
    </row>
    <row r="80" spans="1:18">
      <c r="A80" s="38">
        <f t="shared" si="2"/>
        <v>77</v>
      </c>
      <c r="B80" s="39" t="s">
        <v>250</v>
      </c>
      <c r="C80" s="34" t="s">
        <v>253</v>
      </c>
      <c r="D80" s="38" t="s">
        <v>483</v>
      </c>
      <c r="E80" s="39" t="s">
        <v>255</v>
      </c>
      <c r="F80" s="39"/>
      <c r="G80" s="39"/>
      <c r="H80" s="51" t="s">
        <v>254</v>
      </c>
      <c r="I80" s="36" t="s">
        <v>192</v>
      </c>
      <c r="J80" s="38"/>
      <c r="K80" s="38" t="s">
        <v>393</v>
      </c>
      <c r="L80" s="40"/>
      <c r="M80" s="40" t="str">
        <f t="shared" si="3"/>
        <v/>
      </c>
      <c r="N80" s="38" t="str">
        <f ca="1">IF(M80="","",IF(M80="","",IF(OR(IFERROR(INDEX('Calibration Schedule'!J:J,MATCH(B80,'Calibration Schedule'!C:C,0)),"")="Sent for calibration",IFERROR(INDEX('Calibration Schedule'!J:J,MATCH(B80,'Calibration Schedule'!C:C,0)),"")="Scheduled for calibration"),IFERROR(INDEX('Calibration Schedule'!J:J,MATCH(B80,'Calibration Schedule'!C:C,0)),""),IF(M80&lt;TODAY(),"Expired",IF(M80&lt;=TODAY()+30,"Expiring Soon","Pass")))))</f>
        <v/>
      </c>
      <c r="O80" s="10"/>
      <c r="P80" s="38"/>
      <c r="Q80" s="38"/>
      <c r="R80" s="52">
        <v>9</v>
      </c>
    </row>
    <row r="81" spans="1:18">
      <c r="A81" s="38">
        <f t="shared" si="2"/>
        <v>78</v>
      </c>
      <c r="B81" s="41" t="s">
        <v>251</v>
      </c>
      <c r="C81" s="34" t="s">
        <v>253</v>
      </c>
      <c r="D81" s="42" t="s">
        <v>483</v>
      </c>
      <c r="E81" s="41" t="s">
        <v>256</v>
      </c>
      <c r="F81" s="41"/>
      <c r="G81" s="41"/>
      <c r="H81" s="51" t="s">
        <v>254</v>
      </c>
      <c r="I81" s="36" t="s">
        <v>192</v>
      </c>
      <c r="J81" s="42"/>
      <c r="K81" s="42" t="s">
        <v>393</v>
      </c>
      <c r="L81" s="44"/>
      <c r="M81" s="40" t="str">
        <f t="shared" si="3"/>
        <v/>
      </c>
      <c r="N81" s="38" t="str">
        <f ca="1">IF(M81="","",IF(M81="","",IF(OR(IFERROR(INDEX('Calibration Schedule'!J:J,MATCH(B81,'Calibration Schedule'!C:C,0)),"")="Sent for calibration",IFERROR(INDEX('Calibration Schedule'!J:J,MATCH(B81,'Calibration Schedule'!C:C,0)),"")="Scheduled for calibration"),IFERROR(INDEX('Calibration Schedule'!J:J,MATCH(B81,'Calibration Schedule'!C:C,0)),""),IF(M81&lt;TODAY(),"Expired",IF(M81&lt;=TODAY()+30,"Expiring Soon","Pass")))))</f>
        <v/>
      </c>
      <c r="O81" s="43"/>
      <c r="P81" s="42"/>
      <c r="Q81" s="42" t="s">
        <v>199</v>
      </c>
      <c r="R81" s="52">
        <v>41</v>
      </c>
    </row>
    <row r="82" spans="1:18">
      <c r="A82" s="38">
        <f t="shared" si="2"/>
        <v>79</v>
      </c>
      <c r="B82" s="39" t="s">
        <v>252</v>
      </c>
      <c r="C82" s="34" t="s">
        <v>253</v>
      </c>
      <c r="D82" s="38" t="s">
        <v>483</v>
      </c>
      <c r="E82" s="39" t="s">
        <v>257</v>
      </c>
      <c r="F82" s="39"/>
      <c r="G82" s="39"/>
      <c r="H82" s="51" t="s">
        <v>254</v>
      </c>
      <c r="I82" s="36" t="s">
        <v>192</v>
      </c>
      <c r="J82" s="38"/>
      <c r="K82" s="38" t="s">
        <v>393</v>
      </c>
      <c r="L82" s="40"/>
      <c r="M82" s="40" t="str">
        <f t="shared" si="3"/>
        <v/>
      </c>
      <c r="N82" s="38" t="str">
        <f ca="1">IF(M82="","",IF(M82="","",IF(OR(IFERROR(INDEX('Calibration Schedule'!J:J,MATCH(B82,'Calibration Schedule'!C:C,0)),"")="Sent for calibration",IFERROR(INDEX('Calibration Schedule'!J:J,MATCH(B82,'Calibration Schedule'!C:C,0)),"")="Scheduled for calibration"),IFERROR(INDEX('Calibration Schedule'!J:J,MATCH(B82,'Calibration Schedule'!C:C,0)),""),IF(M82&lt;TODAY(),"Expired",IF(M82&lt;=TODAY()+30,"Expiring Soon","Pass")))))</f>
        <v/>
      </c>
      <c r="O82" s="10"/>
      <c r="P82" s="38"/>
      <c r="Q82" s="38"/>
      <c r="R82" s="52">
        <v>83</v>
      </c>
    </row>
    <row r="83" spans="1:18">
      <c r="A83" s="38">
        <f t="shared" si="2"/>
        <v>80</v>
      </c>
      <c r="B83" s="41" t="s">
        <v>259</v>
      </c>
      <c r="C83" s="42" t="s">
        <v>258</v>
      </c>
      <c r="D83" s="42" t="s">
        <v>36</v>
      </c>
      <c r="E83" s="41" t="s">
        <v>260</v>
      </c>
      <c r="F83" s="41"/>
      <c r="G83" s="41"/>
      <c r="H83" s="43"/>
      <c r="I83" s="34" t="s">
        <v>166</v>
      </c>
      <c r="J83" s="42"/>
      <c r="K83" s="42" t="s">
        <v>393</v>
      </c>
      <c r="L83" s="44"/>
      <c r="M83" s="40" t="str">
        <f t="shared" si="3"/>
        <v/>
      </c>
      <c r="N83" s="38" t="str">
        <f ca="1">IF(M83="","",IF(M83="","",IF(OR(IFERROR(INDEX('Calibration Schedule'!J:J,MATCH(B83,'Calibration Schedule'!C:C,0)),"")="Sent for calibration",IFERROR(INDEX('Calibration Schedule'!J:J,MATCH(B83,'Calibration Schedule'!C:C,0)),"")="Scheduled for calibration"),IFERROR(INDEX('Calibration Schedule'!J:J,MATCH(B83,'Calibration Schedule'!C:C,0)),""),IF(M83&lt;TODAY(),"Expired",IF(M83&lt;=TODAY()+30,"Expiring Soon","Pass")))))</f>
        <v/>
      </c>
      <c r="O83" s="43"/>
      <c r="P83" s="42"/>
      <c r="Q83" s="42"/>
      <c r="R83" s="52">
        <v>11</v>
      </c>
    </row>
    <row r="84" spans="1:18">
      <c r="A84" s="38">
        <f t="shared" si="2"/>
        <v>81</v>
      </c>
      <c r="B84" s="39" t="s">
        <v>261</v>
      </c>
      <c r="C84" s="38" t="s">
        <v>262</v>
      </c>
      <c r="D84" s="38" t="s">
        <v>483</v>
      </c>
      <c r="E84" s="39"/>
      <c r="F84" s="39"/>
      <c r="G84" s="39"/>
      <c r="H84" s="10"/>
      <c r="I84" s="34" t="s">
        <v>166</v>
      </c>
      <c r="J84" s="38"/>
      <c r="K84" s="38" t="s">
        <v>393</v>
      </c>
      <c r="L84" s="40"/>
      <c r="M84" s="40" t="str">
        <f t="shared" si="3"/>
        <v/>
      </c>
      <c r="N84" s="38" t="str">
        <f ca="1">IF(M84="","",IF(M84="","",IF(OR(IFERROR(INDEX('Calibration Schedule'!J:J,MATCH(B84,'Calibration Schedule'!C:C,0)),"")="Sent for calibration",IFERROR(INDEX('Calibration Schedule'!J:J,MATCH(B84,'Calibration Schedule'!C:C,0)),"")="Scheduled for calibration"),IFERROR(INDEX('Calibration Schedule'!J:J,MATCH(B84,'Calibration Schedule'!C:C,0)),""),IF(M84&lt;TODAY(),"Expired",IF(M84&lt;=TODAY()+30,"Expiring Soon","Pass")))))</f>
        <v/>
      </c>
      <c r="O84" s="10"/>
      <c r="P84" s="38"/>
      <c r="Q84" s="38"/>
      <c r="R84" s="52">
        <v>3</v>
      </c>
    </row>
    <row r="85" spans="1:18">
      <c r="A85" s="38">
        <f t="shared" si="2"/>
        <v>82</v>
      </c>
      <c r="B85" s="41" t="s">
        <v>263</v>
      </c>
      <c r="C85" s="42" t="s">
        <v>266</v>
      </c>
      <c r="D85" s="42" t="s">
        <v>481</v>
      </c>
      <c r="E85" s="41"/>
      <c r="F85" s="41"/>
      <c r="G85" s="41"/>
      <c r="H85" s="43"/>
      <c r="I85" s="34" t="s">
        <v>166</v>
      </c>
      <c r="J85" s="42"/>
      <c r="K85" s="42" t="s">
        <v>393</v>
      </c>
      <c r="L85" s="44"/>
      <c r="M85" s="40" t="str">
        <f t="shared" si="3"/>
        <v/>
      </c>
      <c r="N85" s="38" t="str">
        <f ca="1">IF(M85="","",IF(M85="","",IF(OR(IFERROR(INDEX('Calibration Schedule'!J:J,MATCH(B85,'Calibration Schedule'!C:C,0)),"")="Sent for calibration",IFERROR(INDEX('Calibration Schedule'!J:J,MATCH(B85,'Calibration Schedule'!C:C,0)),"")="Scheduled for calibration"),IFERROR(INDEX('Calibration Schedule'!J:J,MATCH(B85,'Calibration Schedule'!C:C,0)),""),IF(M85&lt;TODAY(),"Expired",IF(M85&lt;=TODAY()+30,"Expiring Soon","Pass")))))</f>
        <v/>
      </c>
      <c r="O85" s="43"/>
      <c r="P85" s="42"/>
      <c r="Q85" s="42"/>
      <c r="R85" s="52">
        <v>1</v>
      </c>
    </row>
    <row r="86" spans="1:18">
      <c r="A86" s="38">
        <f t="shared" si="2"/>
        <v>83</v>
      </c>
      <c r="B86" s="39" t="s">
        <v>264</v>
      </c>
      <c r="C86" s="38" t="s">
        <v>267</v>
      </c>
      <c r="D86" s="38" t="s">
        <v>481</v>
      </c>
      <c r="E86" s="39"/>
      <c r="F86" s="39"/>
      <c r="G86" s="39"/>
      <c r="H86" s="10"/>
      <c r="I86" s="34" t="s">
        <v>166</v>
      </c>
      <c r="J86" s="38"/>
      <c r="K86" s="38" t="s">
        <v>393</v>
      </c>
      <c r="L86" s="40"/>
      <c r="M86" s="40" t="str">
        <f t="shared" si="3"/>
        <v/>
      </c>
      <c r="N86" s="38" t="str">
        <f ca="1">IF(M86="","",IF(M86="","",IF(OR(IFERROR(INDEX('Calibration Schedule'!J:J,MATCH(B86,'Calibration Schedule'!C:C,0)),"")="Sent for calibration",IFERROR(INDEX('Calibration Schedule'!J:J,MATCH(B86,'Calibration Schedule'!C:C,0)),"")="Scheduled for calibration"),IFERROR(INDEX('Calibration Schedule'!J:J,MATCH(B86,'Calibration Schedule'!C:C,0)),""),IF(M86&lt;TODAY(),"Expired",IF(M86&lt;=TODAY()+30,"Expiring Soon","Pass")))))</f>
        <v/>
      </c>
      <c r="O86" s="10"/>
      <c r="P86" s="38"/>
      <c r="Q86" s="38"/>
      <c r="R86" s="52">
        <v>2</v>
      </c>
    </row>
    <row r="87" spans="1:18">
      <c r="A87" s="38">
        <f t="shared" si="2"/>
        <v>84</v>
      </c>
      <c r="B87" s="41" t="s">
        <v>265</v>
      </c>
      <c r="C87" s="42" t="s">
        <v>117</v>
      </c>
      <c r="D87" s="42" t="s">
        <v>36</v>
      </c>
      <c r="E87" s="41" t="s">
        <v>268</v>
      </c>
      <c r="F87" s="41"/>
      <c r="G87" s="41"/>
      <c r="H87" s="43"/>
      <c r="I87" s="34" t="s">
        <v>166</v>
      </c>
      <c r="J87" s="42"/>
      <c r="K87" s="42" t="s">
        <v>393</v>
      </c>
      <c r="L87" s="44"/>
      <c r="M87" s="40" t="str">
        <f t="shared" si="3"/>
        <v/>
      </c>
      <c r="N87" s="38" t="str">
        <f ca="1">IF(M87="","",IF(M87="","",IF(OR(IFERROR(INDEX('Calibration Schedule'!J:J,MATCH(B87,'Calibration Schedule'!C:C,0)),"")="Sent for calibration",IFERROR(INDEX('Calibration Schedule'!J:J,MATCH(B87,'Calibration Schedule'!C:C,0)),"")="Scheduled for calibration"),IFERROR(INDEX('Calibration Schedule'!J:J,MATCH(B87,'Calibration Schedule'!C:C,0)),""),IF(M87&lt;TODAY(),"Expired",IF(M87&lt;=TODAY()+30,"Expiring Soon","Pass")))))</f>
        <v/>
      </c>
      <c r="O87" s="43"/>
      <c r="P87" s="42"/>
      <c r="Q87" s="42"/>
      <c r="R87" s="52">
        <v>73</v>
      </c>
    </row>
    <row r="88" spans="1:18">
      <c r="A88" s="38">
        <f t="shared" si="2"/>
        <v>85</v>
      </c>
      <c r="B88" s="39" t="s">
        <v>269</v>
      </c>
      <c r="C88" s="38" t="s">
        <v>222</v>
      </c>
      <c r="D88" s="38" t="s">
        <v>36</v>
      </c>
      <c r="E88" s="39"/>
      <c r="F88" s="39"/>
      <c r="G88" s="39"/>
      <c r="H88" s="10"/>
      <c r="I88" s="34" t="s">
        <v>166</v>
      </c>
      <c r="J88" s="38"/>
      <c r="K88" s="38" t="s">
        <v>393</v>
      </c>
      <c r="L88" s="40"/>
      <c r="M88" s="40" t="str">
        <f t="shared" si="3"/>
        <v/>
      </c>
      <c r="N88" s="38" t="str">
        <f ca="1">IF(M88="","",IF(M88="","",IF(OR(IFERROR(INDEX('Calibration Schedule'!J:J,MATCH(B88,'Calibration Schedule'!C:C,0)),"")="Sent for calibration",IFERROR(INDEX('Calibration Schedule'!J:J,MATCH(B88,'Calibration Schedule'!C:C,0)),"")="Scheduled for calibration"),IFERROR(INDEX('Calibration Schedule'!J:J,MATCH(B88,'Calibration Schedule'!C:C,0)),""),IF(M88&lt;TODAY(),"Expired",IF(M88&lt;=TODAY()+30,"Expiring Soon","Pass")))))</f>
        <v/>
      </c>
      <c r="O88" s="10"/>
      <c r="P88" s="38"/>
      <c r="Q88" s="38"/>
      <c r="R88" s="52">
        <v>5</v>
      </c>
    </row>
    <row r="89" spans="1:18">
      <c r="A89" s="38">
        <f t="shared" si="2"/>
        <v>86</v>
      </c>
      <c r="B89" s="41" t="s">
        <v>270</v>
      </c>
      <c r="C89" s="42" t="s">
        <v>222</v>
      </c>
      <c r="D89" s="42" t="s">
        <v>36</v>
      </c>
      <c r="E89" s="41"/>
      <c r="F89" s="41"/>
      <c r="G89" s="41"/>
      <c r="H89" s="43"/>
      <c r="I89" s="34" t="s">
        <v>166</v>
      </c>
      <c r="J89" s="42"/>
      <c r="K89" s="42" t="s">
        <v>393</v>
      </c>
      <c r="L89" s="44"/>
      <c r="M89" s="40" t="str">
        <f t="shared" si="3"/>
        <v/>
      </c>
      <c r="N89" s="38" t="str">
        <f ca="1">IF(M89="","",IF(M89="","",IF(OR(IFERROR(INDEX('Calibration Schedule'!J:J,MATCH(B89,'Calibration Schedule'!C:C,0)),"")="Sent for calibration",IFERROR(INDEX('Calibration Schedule'!J:J,MATCH(B89,'Calibration Schedule'!C:C,0)),"")="Scheduled for calibration"),IFERROR(INDEX('Calibration Schedule'!J:J,MATCH(B89,'Calibration Schedule'!C:C,0)),""),IF(M89&lt;TODAY(),"Expired",IF(M89&lt;=TODAY()+30,"Expiring Soon","Pass")))))</f>
        <v/>
      </c>
      <c r="O89" s="43"/>
      <c r="P89" s="42"/>
      <c r="Q89" s="42"/>
      <c r="R89" s="52">
        <v>6</v>
      </c>
    </row>
    <row r="90" spans="1:18">
      <c r="A90" s="38">
        <f t="shared" si="2"/>
        <v>87</v>
      </c>
      <c r="B90" s="39" t="s">
        <v>271</v>
      </c>
      <c r="C90" s="38" t="s">
        <v>273</v>
      </c>
      <c r="D90" s="38" t="s">
        <v>481</v>
      </c>
      <c r="E90" s="39"/>
      <c r="F90" s="39"/>
      <c r="G90" s="39"/>
      <c r="H90" s="10"/>
      <c r="I90" s="34" t="s">
        <v>166</v>
      </c>
      <c r="J90" s="38"/>
      <c r="K90" s="38" t="s">
        <v>393</v>
      </c>
      <c r="L90" s="40"/>
      <c r="M90" s="40" t="str">
        <f t="shared" si="3"/>
        <v/>
      </c>
      <c r="N90" s="38" t="str">
        <f ca="1">IF(M90="","",IF(M90="","",IF(OR(IFERROR(INDEX('Calibration Schedule'!J:J,MATCH(B90,'Calibration Schedule'!C:C,0)),"")="Sent for calibration",IFERROR(INDEX('Calibration Schedule'!J:J,MATCH(B90,'Calibration Schedule'!C:C,0)),"")="Scheduled for calibration"),IFERROR(INDEX('Calibration Schedule'!J:J,MATCH(B90,'Calibration Schedule'!C:C,0)),""),IF(M90&lt;TODAY(),"Expired",IF(M90&lt;=TODAY()+30,"Expiring Soon","Pass")))))</f>
        <v/>
      </c>
      <c r="O90" s="10"/>
      <c r="P90" s="38"/>
      <c r="Q90" s="38"/>
      <c r="R90" s="52">
        <v>7</v>
      </c>
    </row>
    <row r="91" spans="1:18">
      <c r="A91" s="38">
        <f t="shared" si="2"/>
        <v>88</v>
      </c>
      <c r="B91" s="41" t="s">
        <v>272</v>
      </c>
      <c r="C91" s="42" t="s">
        <v>274</v>
      </c>
      <c r="D91" s="42" t="s">
        <v>36</v>
      </c>
      <c r="E91" s="41" t="s">
        <v>275</v>
      </c>
      <c r="F91" s="41"/>
      <c r="G91" s="41"/>
      <c r="H91" s="43"/>
      <c r="I91" s="34" t="s">
        <v>166</v>
      </c>
      <c r="J91" s="42"/>
      <c r="K91" s="42" t="s">
        <v>393</v>
      </c>
      <c r="L91" s="44"/>
      <c r="M91" s="40" t="str">
        <f t="shared" si="3"/>
        <v/>
      </c>
      <c r="N91" s="38" t="str">
        <f ca="1">IF(M91="","",IF(M91="","",IF(OR(IFERROR(INDEX('Calibration Schedule'!J:J,MATCH(B91,'Calibration Schedule'!C:C,0)),"")="Sent for calibration",IFERROR(INDEX('Calibration Schedule'!J:J,MATCH(B91,'Calibration Schedule'!C:C,0)),"")="Scheduled for calibration"),IFERROR(INDEX('Calibration Schedule'!J:J,MATCH(B91,'Calibration Schedule'!C:C,0)),""),IF(M91&lt;TODAY(),"Expired",IF(M91&lt;=TODAY()+30,"Expiring Soon","Pass")))))</f>
        <v/>
      </c>
      <c r="O91" s="43"/>
      <c r="P91" s="42"/>
      <c r="Q91" s="42"/>
      <c r="R91" s="52">
        <v>8</v>
      </c>
    </row>
    <row r="92" spans="1:18">
      <c r="A92" s="38">
        <f t="shared" si="2"/>
        <v>89</v>
      </c>
      <c r="B92" s="49" t="s">
        <v>276</v>
      </c>
      <c r="C92" s="70" t="s">
        <v>277</v>
      </c>
      <c r="D92" s="38" t="s">
        <v>32</v>
      </c>
      <c r="E92" s="77" t="s">
        <v>282</v>
      </c>
      <c r="F92" s="39"/>
      <c r="G92" s="39" t="s">
        <v>280</v>
      </c>
      <c r="H92" s="86" t="s">
        <v>278</v>
      </c>
      <c r="I92" s="84" t="s">
        <v>288</v>
      </c>
      <c r="J92" s="38"/>
      <c r="K92" s="38"/>
      <c r="L92" s="40"/>
      <c r="M92" s="40">
        <f t="shared" si="3"/>
        <v>0</v>
      </c>
      <c r="N92" s="38" t="str">
        <f ca="1">IF(M92="","",IF(M92="","",IF(OR(IFERROR(INDEX('Calibration Schedule'!J:J,MATCH(B92,'Calibration Schedule'!C:C,0)),"")="Sent for calibration",IFERROR(INDEX('Calibration Schedule'!J:J,MATCH(B92,'Calibration Schedule'!C:C,0)),"")="Scheduled for calibration"),IFERROR(INDEX('Calibration Schedule'!J:J,MATCH(B92,'Calibration Schedule'!C:C,0)),""),IF(M92&lt;TODAY(),"Expired",IF(M92&lt;=TODAY()+30,"Expiring Soon","Pass")))))</f>
        <v>Expired</v>
      </c>
      <c r="O92" s="10"/>
      <c r="P92" s="38"/>
      <c r="Q92" s="38"/>
      <c r="R92" s="52"/>
    </row>
    <row r="93" spans="1:18">
      <c r="A93" s="38">
        <f t="shared" si="2"/>
        <v>90</v>
      </c>
      <c r="B93" s="49" t="s">
        <v>276</v>
      </c>
      <c r="C93" s="71"/>
      <c r="D93" s="42" t="s">
        <v>32</v>
      </c>
      <c r="E93" s="78"/>
      <c r="F93" s="41"/>
      <c r="G93" s="41" t="s">
        <v>283</v>
      </c>
      <c r="H93" s="87"/>
      <c r="I93" s="84"/>
      <c r="J93" s="42"/>
      <c r="K93" s="42"/>
      <c r="L93" s="44"/>
      <c r="M93" s="40">
        <f t="shared" si="3"/>
        <v>0</v>
      </c>
      <c r="N93" s="38" t="str">
        <f ca="1">IF(M93="","",IF(M93="","",IF(OR(IFERROR(INDEX('Calibration Schedule'!J:J,MATCH(B93,'Calibration Schedule'!C:C,0)),"")="Sent for calibration",IFERROR(INDEX('Calibration Schedule'!J:J,MATCH(B93,'Calibration Schedule'!C:C,0)),"")="Scheduled for calibration"),IFERROR(INDEX('Calibration Schedule'!J:J,MATCH(B93,'Calibration Schedule'!C:C,0)),""),IF(M93&lt;TODAY(),"Expired",IF(M93&lt;=TODAY()+30,"Expiring Soon","Pass")))))</f>
        <v>Expired</v>
      </c>
      <c r="O93" s="43"/>
      <c r="P93" s="42"/>
      <c r="Q93" s="42"/>
      <c r="R93" s="52"/>
    </row>
    <row r="94" spans="1:18">
      <c r="A94" s="38">
        <f t="shared" si="2"/>
        <v>91</v>
      </c>
      <c r="B94" s="49" t="s">
        <v>276</v>
      </c>
      <c r="C94" s="72"/>
      <c r="D94" s="38" t="s">
        <v>32</v>
      </c>
      <c r="E94" s="79"/>
      <c r="F94" s="39"/>
      <c r="G94" s="39" t="s">
        <v>285</v>
      </c>
      <c r="H94" s="87"/>
      <c r="I94" s="84"/>
      <c r="J94" s="38"/>
      <c r="K94" s="38"/>
      <c r="L94" s="40"/>
      <c r="M94" s="40">
        <f t="shared" si="3"/>
        <v>0</v>
      </c>
      <c r="N94" s="38" t="str">
        <f ca="1">IF(M94="","",IF(M94="","",IF(OR(IFERROR(INDEX('Calibration Schedule'!J:J,MATCH(B94,'Calibration Schedule'!C:C,0)),"")="Sent for calibration",IFERROR(INDEX('Calibration Schedule'!J:J,MATCH(B94,'Calibration Schedule'!C:C,0)),"")="Scheduled for calibration"),IFERROR(INDEX('Calibration Schedule'!J:J,MATCH(B94,'Calibration Schedule'!C:C,0)),""),IF(M94&lt;TODAY(),"Expired",IF(M94&lt;=TODAY()+30,"Expiring Soon","Pass")))))</f>
        <v>Expired</v>
      </c>
      <c r="O94" s="10"/>
      <c r="P94" s="38"/>
      <c r="Q94" s="38"/>
      <c r="R94" s="52"/>
    </row>
    <row r="95" spans="1:18">
      <c r="A95" s="38">
        <f t="shared" si="2"/>
        <v>92</v>
      </c>
      <c r="B95" s="50" t="s">
        <v>279</v>
      </c>
      <c r="C95" s="67" t="s">
        <v>281</v>
      </c>
      <c r="D95" s="42" t="s">
        <v>32</v>
      </c>
      <c r="E95" s="80" t="s">
        <v>198</v>
      </c>
      <c r="F95" s="41"/>
      <c r="G95" s="41" t="s">
        <v>284</v>
      </c>
      <c r="H95" s="86" t="s">
        <v>278</v>
      </c>
      <c r="I95" s="84" t="s">
        <v>288</v>
      </c>
      <c r="J95" s="42"/>
      <c r="K95" s="42"/>
      <c r="L95" s="44"/>
      <c r="M95" s="40">
        <f t="shared" si="3"/>
        <v>0</v>
      </c>
      <c r="N95" s="38" t="str">
        <f ca="1">IF(M95="","",IF(M95="","",IF(OR(IFERROR(INDEX('Calibration Schedule'!J:J,MATCH(B95,'Calibration Schedule'!C:C,0)),"")="Sent for calibration",IFERROR(INDEX('Calibration Schedule'!J:J,MATCH(B95,'Calibration Schedule'!C:C,0)),"")="Scheduled for calibration"),IFERROR(INDEX('Calibration Schedule'!J:J,MATCH(B95,'Calibration Schedule'!C:C,0)),""),IF(M95&lt;TODAY(),"Expired",IF(M95&lt;=TODAY()+30,"Expiring Soon","Pass")))))</f>
        <v>Expired</v>
      </c>
      <c r="O95" s="43"/>
      <c r="P95" s="42"/>
      <c r="Q95" s="42"/>
      <c r="R95" s="52"/>
    </row>
    <row r="96" spans="1:18">
      <c r="A96" s="38">
        <f t="shared" si="2"/>
        <v>93</v>
      </c>
      <c r="B96" s="50" t="s">
        <v>279</v>
      </c>
      <c r="C96" s="69"/>
      <c r="D96" s="38" t="s">
        <v>32</v>
      </c>
      <c r="E96" s="81"/>
      <c r="F96" s="39"/>
      <c r="G96" s="39" t="s">
        <v>286</v>
      </c>
      <c r="H96" s="87"/>
      <c r="I96" s="84"/>
      <c r="J96" s="38"/>
      <c r="K96" s="38"/>
      <c r="L96" s="40"/>
      <c r="M96" s="40">
        <f t="shared" si="3"/>
        <v>0</v>
      </c>
      <c r="N96" s="38" t="str">
        <f ca="1">IF(M96="","",IF(M96="","",IF(OR(IFERROR(INDEX('Calibration Schedule'!J:J,MATCH(B96,'Calibration Schedule'!C:C,0)),"")="Sent for calibration",IFERROR(INDEX('Calibration Schedule'!J:J,MATCH(B96,'Calibration Schedule'!C:C,0)),"")="Scheduled for calibration"),IFERROR(INDEX('Calibration Schedule'!J:J,MATCH(B96,'Calibration Schedule'!C:C,0)),""),IF(M96&lt;TODAY(),"Expired",IF(M96&lt;=TODAY()+30,"Expiring Soon","Pass")))))</f>
        <v>Expired</v>
      </c>
      <c r="O96" s="10"/>
      <c r="P96" s="38"/>
      <c r="Q96" s="38"/>
      <c r="R96" s="52"/>
    </row>
    <row r="97" spans="1:18">
      <c r="A97" s="38">
        <f t="shared" si="2"/>
        <v>94</v>
      </c>
      <c r="B97" s="50" t="s">
        <v>279</v>
      </c>
      <c r="C97" s="68"/>
      <c r="D97" s="42" t="s">
        <v>32</v>
      </c>
      <c r="E97" s="82"/>
      <c r="F97" s="41"/>
      <c r="G97" s="41" t="s">
        <v>287</v>
      </c>
      <c r="H97" s="87"/>
      <c r="I97" s="84"/>
      <c r="J97" s="42"/>
      <c r="K97" s="42"/>
      <c r="L97" s="44"/>
      <c r="M97" s="40">
        <f t="shared" si="3"/>
        <v>0</v>
      </c>
      <c r="N97" s="38" t="str">
        <f ca="1">IF(M97="","",IF(M97="","",IF(OR(IFERROR(INDEX('Calibration Schedule'!J:J,MATCH(B97,'Calibration Schedule'!C:C,0)),"")="Sent for calibration",IFERROR(INDEX('Calibration Schedule'!J:J,MATCH(B97,'Calibration Schedule'!C:C,0)),"")="Scheduled for calibration"),IFERROR(INDEX('Calibration Schedule'!J:J,MATCH(B97,'Calibration Schedule'!C:C,0)),""),IF(M97&lt;TODAY(),"Expired",IF(M97&lt;=TODAY()+30,"Expiring Soon","Pass")))))</f>
        <v>Expired</v>
      </c>
      <c r="O97" s="43"/>
      <c r="P97" s="42"/>
      <c r="Q97" s="42"/>
      <c r="R97" s="52"/>
    </row>
    <row r="98" spans="1:18" ht="32.25" customHeight="1">
      <c r="A98" s="38">
        <f t="shared" si="2"/>
        <v>95</v>
      </c>
      <c r="B98" s="39" t="s">
        <v>289</v>
      </c>
      <c r="C98" s="38" t="s">
        <v>290</v>
      </c>
      <c r="D98" s="38" t="s">
        <v>483</v>
      </c>
      <c r="E98" s="39" t="s">
        <v>291</v>
      </c>
      <c r="F98" s="39"/>
      <c r="H98" s="10"/>
      <c r="I98" s="38" t="s">
        <v>123</v>
      </c>
      <c r="J98" s="38"/>
      <c r="K98" s="38" t="s">
        <v>393</v>
      </c>
      <c r="L98" s="40"/>
      <c r="M98" s="40" t="str">
        <f t="shared" si="3"/>
        <v/>
      </c>
      <c r="N98" s="38" t="str">
        <f ca="1">IF(M98="","",IF(M98="","",IF(OR(IFERROR(INDEX('Calibration Schedule'!J:J,MATCH(B98,'Calibration Schedule'!C:C,0)),"")="Sent for calibration",IFERROR(INDEX('Calibration Schedule'!J:J,MATCH(B98,'Calibration Schedule'!C:C,0)),"")="Scheduled for calibration"),IFERROR(INDEX('Calibration Schedule'!J:J,MATCH(B98,'Calibration Schedule'!C:C,0)),""),IF(M98&lt;TODAY(),"Expired",IF(M98&lt;=TODAY()+30,"Expiring Soon","Pass")))))</f>
        <v/>
      </c>
      <c r="O98" s="10"/>
      <c r="P98" s="38"/>
      <c r="Q98" s="38"/>
      <c r="R98" s="52">
        <v>46</v>
      </c>
    </row>
    <row r="99" spans="1:18">
      <c r="A99" s="38">
        <f t="shared" si="2"/>
        <v>96</v>
      </c>
      <c r="B99" s="41" t="s">
        <v>292</v>
      </c>
      <c r="C99" s="42" t="s">
        <v>295</v>
      </c>
      <c r="D99" s="42" t="s">
        <v>36</v>
      </c>
      <c r="E99" s="41" t="s">
        <v>488</v>
      </c>
      <c r="F99" s="41"/>
      <c r="G99" s="39" t="s">
        <v>182</v>
      </c>
      <c r="H99" s="43"/>
      <c r="I99" s="36" t="s">
        <v>192</v>
      </c>
      <c r="J99" s="42"/>
      <c r="K99" s="42" t="s">
        <v>393</v>
      </c>
      <c r="L99" s="44"/>
      <c r="M99" s="40" t="str">
        <f t="shared" si="3"/>
        <v/>
      </c>
      <c r="N99" s="38" t="str">
        <f ca="1">IF(M99="","",IF(M99="","",IF(OR(IFERROR(INDEX('Calibration Schedule'!J:J,MATCH(B99,'Calibration Schedule'!C:C,0)),"")="Sent for calibration",IFERROR(INDEX('Calibration Schedule'!J:J,MATCH(B99,'Calibration Schedule'!C:C,0)),"")="Scheduled for calibration"),IFERROR(INDEX('Calibration Schedule'!J:J,MATCH(B99,'Calibration Schedule'!C:C,0)),""),IF(M99&lt;TODAY(),"Expired",IF(M99&lt;=TODAY()+30,"Expiring Soon","Pass")))))</f>
        <v/>
      </c>
      <c r="O99" s="43"/>
      <c r="P99" s="42"/>
      <c r="Q99" s="42"/>
      <c r="R99" s="52">
        <v>39</v>
      </c>
    </row>
    <row r="100" spans="1:18">
      <c r="A100" s="38">
        <f t="shared" si="2"/>
        <v>97</v>
      </c>
      <c r="B100" s="39" t="s">
        <v>293</v>
      </c>
      <c r="C100" s="38" t="s">
        <v>296</v>
      </c>
      <c r="D100" s="38" t="s">
        <v>483</v>
      </c>
      <c r="E100" s="39" t="s">
        <v>298</v>
      </c>
      <c r="F100" s="39"/>
      <c r="G100" s="41" t="s">
        <v>299</v>
      </c>
      <c r="H100" s="10"/>
      <c r="I100" s="36" t="s">
        <v>192</v>
      </c>
      <c r="J100" s="38"/>
      <c r="K100" s="38" t="s">
        <v>393</v>
      </c>
      <c r="L100" s="40"/>
      <c r="M100" s="40" t="str">
        <f t="shared" si="3"/>
        <v/>
      </c>
      <c r="N100" s="38" t="str">
        <f ca="1">IF(M100="","",IF(M100="","",IF(OR(IFERROR(INDEX('Calibration Schedule'!J:J,MATCH(B100,'Calibration Schedule'!C:C,0)),"")="Sent for calibration",IFERROR(INDEX('Calibration Schedule'!J:J,MATCH(B100,'Calibration Schedule'!C:C,0)),"")="Scheduled for calibration"),IFERROR(INDEX('Calibration Schedule'!J:J,MATCH(B100,'Calibration Schedule'!C:C,0)),""),IF(M100&lt;TODAY(),"Expired",IF(M100&lt;=TODAY()+30,"Expiring Soon","Pass")))))</f>
        <v/>
      </c>
      <c r="O100" s="10"/>
      <c r="P100" s="38"/>
      <c r="Q100" s="38"/>
      <c r="R100" s="52">
        <v>40</v>
      </c>
    </row>
    <row r="101" spans="1:18">
      <c r="A101" s="38">
        <f t="shared" si="2"/>
        <v>98</v>
      </c>
      <c r="B101" s="41" t="s">
        <v>294</v>
      </c>
      <c r="C101" s="42" t="s">
        <v>297</v>
      </c>
      <c r="D101" s="42" t="s">
        <v>32</v>
      </c>
      <c r="E101" s="41"/>
      <c r="F101" s="41"/>
      <c r="G101" s="39" t="s">
        <v>190</v>
      </c>
      <c r="H101" s="43"/>
      <c r="I101" s="36" t="s">
        <v>192</v>
      </c>
      <c r="J101" s="42"/>
      <c r="K101" s="42"/>
      <c r="L101" s="44"/>
      <c r="M101" s="40">
        <f t="shared" si="3"/>
        <v>0</v>
      </c>
      <c r="N101" s="38" t="str">
        <f ca="1">IF(M101="","",IF(M101="","",IF(OR(IFERROR(INDEX('Calibration Schedule'!J:J,MATCH(B101,'Calibration Schedule'!C:C,0)),"")="Sent for calibration",IFERROR(INDEX('Calibration Schedule'!J:J,MATCH(B101,'Calibration Schedule'!C:C,0)),"")="Scheduled for calibration"),IFERROR(INDEX('Calibration Schedule'!J:J,MATCH(B101,'Calibration Schedule'!C:C,0)),""),IF(M101&lt;TODAY(),"Expired",IF(M101&lt;=TODAY()+30,"Expiring Soon","Pass")))))</f>
        <v>Expired</v>
      </c>
      <c r="O101" s="43"/>
      <c r="P101" s="42"/>
      <c r="Q101" s="42"/>
      <c r="R101" s="52">
        <v>57</v>
      </c>
    </row>
    <row r="102" spans="1:18">
      <c r="A102" s="38">
        <f t="shared" si="2"/>
        <v>99</v>
      </c>
      <c r="B102" s="39" t="s">
        <v>300</v>
      </c>
      <c r="C102" s="38" t="s">
        <v>295</v>
      </c>
      <c r="D102" s="38" t="s">
        <v>36</v>
      </c>
      <c r="E102" s="39" t="s">
        <v>309</v>
      </c>
      <c r="F102" s="39"/>
      <c r="G102" s="39" t="s">
        <v>223</v>
      </c>
      <c r="H102" s="10"/>
      <c r="I102" s="34" t="s">
        <v>187</v>
      </c>
      <c r="J102" s="38"/>
      <c r="K102" s="38" t="s">
        <v>393</v>
      </c>
      <c r="L102" s="40"/>
      <c r="M102" s="40" t="str">
        <f t="shared" si="3"/>
        <v/>
      </c>
      <c r="N102" s="38" t="str">
        <f ca="1">IF(M102="","",IF(M102="","",IF(OR(IFERROR(INDEX('Calibration Schedule'!J:J,MATCH(B102,'Calibration Schedule'!C:C,0)),"")="Sent for calibration",IFERROR(INDEX('Calibration Schedule'!J:J,MATCH(B102,'Calibration Schedule'!C:C,0)),"")="Scheduled for calibration"),IFERROR(INDEX('Calibration Schedule'!J:J,MATCH(B102,'Calibration Schedule'!C:C,0)),""),IF(M102&lt;TODAY(),"Expired",IF(M102&lt;=TODAY()+30,"Expiring Soon","Pass")))))</f>
        <v/>
      </c>
      <c r="O102" s="10"/>
      <c r="P102" s="38"/>
      <c r="Q102" s="38"/>
      <c r="R102" s="52">
        <v>43</v>
      </c>
    </row>
    <row r="103" spans="1:18">
      <c r="A103" s="38">
        <f t="shared" si="2"/>
        <v>100</v>
      </c>
      <c r="B103" s="41" t="s">
        <v>301</v>
      </c>
      <c r="C103" s="42" t="s">
        <v>149</v>
      </c>
      <c r="D103" s="42" t="s">
        <v>36</v>
      </c>
      <c r="E103" s="41" t="s">
        <v>310</v>
      </c>
      <c r="F103" s="41"/>
      <c r="G103" s="41" t="s">
        <v>314</v>
      </c>
      <c r="H103" s="43"/>
      <c r="I103" s="34" t="s">
        <v>187</v>
      </c>
      <c r="J103" s="42"/>
      <c r="K103" s="42" t="s">
        <v>393</v>
      </c>
      <c r="L103" s="44"/>
      <c r="M103" s="40" t="str">
        <f t="shared" si="3"/>
        <v/>
      </c>
      <c r="N103" s="38" t="str">
        <f ca="1">IF(M103="","",IF(M103="","",IF(OR(IFERROR(INDEX('Calibration Schedule'!J:J,MATCH(B103,'Calibration Schedule'!C:C,0)),"")="Sent for calibration",IFERROR(INDEX('Calibration Schedule'!J:J,MATCH(B103,'Calibration Schedule'!C:C,0)),"")="Scheduled for calibration"),IFERROR(INDEX('Calibration Schedule'!J:J,MATCH(B103,'Calibration Schedule'!C:C,0)),""),IF(M103&lt;TODAY(),"Expired",IF(M103&lt;=TODAY()+30,"Expiring Soon","Pass")))))</f>
        <v/>
      </c>
      <c r="O103" s="43"/>
      <c r="P103" s="42"/>
      <c r="Q103" s="42"/>
      <c r="R103" s="52">
        <v>44</v>
      </c>
    </row>
    <row r="104" spans="1:18">
      <c r="A104" s="38">
        <f t="shared" si="2"/>
        <v>101</v>
      </c>
      <c r="B104" s="39" t="s">
        <v>302</v>
      </c>
      <c r="C104" s="38" t="s">
        <v>306</v>
      </c>
      <c r="D104" s="38" t="s">
        <v>36</v>
      </c>
      <c r="E104" s="39" t="s">
        <v>311</v>
      </c>
      <c r="F104" s="39"/>
      <c r="G104" s="45" t="s">
        <v>182</v>
      </c>
      <c r="H104" s="10"/>
      <c r="I104" s="34" t="s">
        <v>187</v>
      </c>
      <c r="J104" s="38"/>
      <c r="K104" s="38" t="s">
        <v>393</v>
      </c>
      <c r="L104" s="40"/>
      <c r="M104" s="40" t="str">
        <f t="shared" si="3"/>
        <v/>
      </c>
      <c r="N104" s="38" t="str">
        <f ca="1">IF(M104="","",IF(M104="","",IF(OR(IFERROR(INDEX('Calibration Schedule'!J:J,MATCH(B104,'Calibration Schedule'!C:C,0)),"")="Sent for calibration",IFERROR(INDEX('Calibration Schedule'!J:J,MATCH(B104,'Calibration Schedule'!C:C,0)),"")="Scheduled for calibration"),IFERROR(INDEX('Calibration Schedule'!J:J,MATCH(B104,'Calibration Schedule'!C:C,0)),""),IF(M104&lt;TODAY(),"Expired",IF(M104&lt;=TODAY()+30,"Expiring Soon","Pass")))))</f>
        <v/>
      </c>
      <c r="O104" s="10"/>
      <c r="P104" s="38"/>
      <c r="Q104" s="38"/>
      <c r="R104" s="52">
        <v>75</v>
      </c>
    </row>
    <row r="105" spans="1:18">
      <c r="A105" s="38">
        <f t="shared" si="2"/>
        <v>102</v>
      </c>
      <c r="B105" s="41" t="s">
        <v>303</v>
      </c>
      <c r="C105" s="42" t="s">
        <v>307</v>
      </c>
      <c r="D105" s="42" t="s">
        <v>483</v>
      </c>
      <c r="E105" s="41" t="s">
        <v>312</v>
      </c>
      <c r="F105" s="41"/>
      <c r="G105" s="45" t="s">
        <v>182</v>
      </c>
      <c r="H105" s="43"/>
      <c r="I105" s="34" t="s">
        <v>187</v>
      </c>
      <c r="J105" s="42"/>
      <c r="K105" s="42" t="s">
        <v>393</v>
      </c>
      <c r="L105" s="44"/>
      <c r="M105" s="40" t="str">
        <f t="shared" si="3"/>
        <v/>
      </c>
      <c r="N105" s="38" t="str">
        <f ca="1">IF(M105="","",IF(M105="","",IF(OR(IFERROR(INDEX('Calibration Schedule'!J:J,MATCH(B105,'Calibration Schedule'!C:C,0)),"")="Sent for calibration",IFERROR(INDEX('Calibration Schedule'!J:J,MATCH(B105,'Calibration Schedule'!C:C,0)),"")="Scheduled for calibration"),IFERROR(INDEX('Calibration Schedule'!J:J,MATCH(B105,'Calibration Schedule'!C:C,0)),""),IF(M105&lt;TODAY(),"Expired",IF(M105&lt;=TODAY()+30,"Expiring Soon","Pass")))))</f>
        <v/>
      </c>
      <c r="O105" s="43"/>
      <c r="P105" s="42"/>
      <c r="Q105" s="42"/>
      <c r="R105" s="52">
        <v>76</v>
      </c>
    </row>
    <row r="106" spans="1:18">
      <c r="A106" s="38">
        <f t="shared" si="2"/>
        <v>103</v>
      </c>
      <c r="B106" s="39" t="s">
        <v>304</v>
      </c>
      <c r="C106" s="38" t="s">
        <v>273</v>
      </c>
      <c r="D106" s="38" t="s">
        <v>481</v>
      </c>
      <c r="E106" s="39"/>
      <c r="F106" s="39"/>
      <c r="G106" s="45" t="s">
        <v>182</v>
      </c>
      <c r="H106" s="10"/>
      <c r="I106" s="34" t="s">
        <v>187</v>
      </c>
      <c r="J106" s="38"/>
      <c r="K106" s="38" t="s">
        <v>393</v>
      </c>
      <c r="L106" s="40"/>
      <c r="M106" s="40" t="str">
        <f t="shared" si="3"/>
        <v/>
      </c>
      <c r="N106" s="38" t="str">
        <f ca="1">IF(M106="","",IF(M106="","",IF(OR(IFERROR(INDEX('Calibration Schedule'!J:J,MATCH(B106,'Calibration Schedule'!C:C,0)),"")="Sent for calibration",IFERROR(INDEX('Calibration Schedule'!J:J,MATCH(B106,'Calibration Schedule'!C:C,0)),"")="Scheduled for calibration"),IFERROR(INDEX('Calibration Schedule'!J:J,MATCH(B106,'Calibration Schedule'!C:C,0)),""),IF(M106&lt;TODAY(),"Expired",IF(M106&lt;=TODAY()+30,"Expiring Soon","Pass")))))</f>
        <v/>
      </c>
      <c r="O106" s="10"/>
      <c r="P106" s="38"/>
      <c r="Q106" s="38"/>
      <c r="R106" s="52">
        <v>27</v>
      </c>
    </row>
    <row r="107" spans="1:18">
      <c r="A107" s="38">
        <f t="shared" si="2"/>
        <v>104</v>
      </c>
      <c r="B107" s="41" t="s">
        <v>305</v>
      </c>
      <c r="C107" s="42" t="s">
        <v>308</v>
      </c>
      <c r="D107" s="42" t="s">
        <v>36</v>
      </c>
      <c r="E107" s="41" t="s">
        <v>313</v>
      </c>
      <c r="F107" s="41"/>
      <c r="G107" s="45" t="s">
        <v>182</v>
      </c>
      <c r="H107" s="43"/>
      <c r="I107" s="34" t="s">
        <v>187</v>
      </c>
      <c r="J107" s="42"/>
      <c r="K107" s="42" t="s">
        <v>393</v>
      </c>
      <c r="L107" s="44"/>
      <c r="M107" s="40" t="str">
        <f t="shared" si="3"/>
        <v/>
      </c>
      <c r="N107" s="38" t="str">
        <f ca="1">IF(M107="","",IF(M107="","",IF(OR(IFERROR(INDEX('Calibration Schedule'!J:J,MATCH(B107,'Calibration Schedule'!C:C,0)),"")="Sent for calibration",IFERROR(INDEX('Calibration Schedule'!J:J,MATCH(B107,'Calibration Schedule'!C:C,0)),"")="Scheduled for calibration"),IFERROR(INDEX('Calibration Schedule'!J:J,MATCH(B107,'Calibration Schedule'!C:C,0)),""),IF(M107&lt;TODAY(),"Expired",IF(M107&lt;=TODAY()+30,"Expiring Soon","Pass")))))</f>
        <v/>
      </c>
      <c r="O107" s="43"/>
      <c r="P107" s="42"/>
      <c r="Q107" s="42"/>
      <c r="R107" s="52">
        <v>60</v>
      </c>
    </row>
    <row r="108" spans="1:18">
      <c r="A108" s="38">
        <f t="shared" si="2"/>
        <v>105</v>
      </c>
      <c r="B108" s="39" t="s">
        <v>315</v>
      </c>
      <c r="C108" s="34" t="s">
        <v>319</v>
      </c>
      <c r="D108" s="38" t="s">
        <v>36</v>
      </c>
      <c r="E108" s="39" t="s">
        <v>321</v>
      </c>
      <c r="F108" s="39"/>
      <c r="G108" s="45" t="s">
        <v>153</v>
      </c>
      <c r="H108" s="10"/>
      <c r="I108" s="34" t="s">
        <v>187</v>
      </c>
      <c r="J108" s="38"/>
      <c r="K108" s="38" t="s">
        <v>393</v>
      </c>
      <c r="L108" s="40"/>
      <c r="M108" s="40" t="str">
        <f t="shared" si="3"/>
        <v/>
      </c>
      <c r="N108" s="38" t="str">
        <f ca="1">IF(M108="","",IF(M108="","",IF(OR(IFERROR(INDEX('Calibration Schedule'!J:J,MATCH(B108,'Calibration Schedule'!C:C,0)),"")="Sent for calibration",IFERROR(INDEX('Calibration Schedule'!J:J,MATCH(B108,'Calibration Schedule'!C:C,0)),"")="Scheduled for calibration"),IFERROR(INDEX('Calibration Schedule'!J:J,MATCH(B108,'Calibration Schedule'!C:C,0)),""),IF(M108&lt;TODAY(),"Expired",IF(M108&lt;=TODAY()+30,"Expiring Soon","Pass")))))</f>
        <v/>
      </c>
      <c r="O108" s="10"/>
      <c r="P108" s="38"/>
      <c r="Q108" s="38"/>
      <c r="R108" s="52">
        <v>42</v>
      </c>
    </row>
    <row r="109" spans="1:18">
      <c r="A109" s="38">
        <f t="shared" si="2"/>
        <v>106</v>
      </c>
      <c r="B109" s="41" t="s">
        <v>316</v>
      </c>
      <c r="C109" s="34" t="s">
        <v>319</v>
      </c>
      <c r="D109" s="42" t="s">
        <v>36</v>
      </c>
      <c r="E109" s="41" t="s">
        <v>322</v>
      </c>
      <c r="F109" s="41"/>
      <c r="G109" s="45" t="s">
        <v>153</v>
      </c>
      <c r="H109" s="43"/>
      <c r="I109" s="34" t="s">
        <v>187</v>
      </c>
      <c r="J109" s="42"/>
      <c r="K109" s="42" t="s">
        <v>393</v>
      </c>
      <c r="L109" s="44"/>
      <c r="M109" s="40" t="str">
        <f t="shared" si="3"/>
        <v/>
      </c>
      <c r="N109" s="38" t="str">
        <f ca="1">IF(M109="","",IF(M109="","",IF(OR(IFERROR(INDEX('Calibration Schedule'!J:J,MATCH(B109,'Calibration Schedule'!C:C,0)),"")="Sent for calibration",IFERROR(INDEX('Calibration Schedule'!J:J,MATCH(B109,'Calibration Schedule'!C:C,0)),"")="Scheduled for calibration"),IFERROR(INDEX('Calibration Schedule'!J:J,MATCH(B109,'Calibration Schedule'!C:C,0)),""),IF(M109&lt;TODAY(),"Expired",IF(M109&lt;=TODAY()+30,"Expiring Soon","Pass")))))</f>
        <v/>
      </c>
      <c r="O109" s="43"/>
      <c r="P109" s="42"/>
      <c r="Q109" s="42"/>
      <c r="R109" s="52">
        <v>52</v>
      </c>
    </row>
    <row r="110" spans="1:18">
      <c r="A110" s="38">
        <f t="shared" si="2"/>
        <v>107</v>
      </c>
      <c r="B110" s="39" t="s">
        <v>317</v>
      </c>
      <c r="C110" s="34" t="s">
        <v>319</v>
      </c>
      <c r="D110" s="38" t="s">
        <v>36</v>
      </c>
      <c r="E110" s="39" t="s">
        <v>323</v>
      </c>
      <c r="F110" s="39"/>
      <c r="G110" s="45" t="s">
        <v>153</v>
      </c>
      <c r="H110" s="10"/>
      <c r="I110" s="34" t="s">
        <v>187</v>
      </c>
      <c r="J110" s="38"/>
      <c r="K110" s="38" t="s">
        <v>393</v>
      </c>
      <c r="L110" s="40"/>
      <c r="M110" s="40" t="str">
        <f t="shared" si="3"/>
        <v/>
      </c>
      <c r="N110" s="38" t="str">
        <f ca="1">IF(M110="","",IF(M110="","",IF(OR(IFERROR(INDEX('Calibration Schedule'!J:J,MATCH(B110,'Calibration Schedule'!C:C,0)),"")="Sent for calibration",IFERROR(INDEX('Calibration Schedule'!J:J,MATCH(B110,'Calibration Schedule'!C:C,0)),"")="Scheduled for calibration"),IFERROR(INDEX('Calibration Schedule'!J:J,MATCH(B110,'Calibration Schedule'!C:C,0)),""),IF(M110&lt;TODAY(),"Expired",IF(M110&lt;=TODAY()+30,"Expiring Soon","Pass")))))</f>
        <v/>
      </c>
      <c r="O110" s="10"/>
      <c r="P110" s="38"/>
      <c r="Q110" s="38"/>
      <c r="R110" s="52">
        <v>53</v>
      </c>
    </row>
    <row r="111" spans="1:18">
      <c r="A111" s="38">
        <f t="shared" si="2"/>
        <v>108</v>
      </c>
      <c r="B111" s="41" t="s">
        <v>318</v>
      </c>
      <c r="C111" s="42" t="s">
        <v>320</v>
      </c>
      <c r="D111" s="42" t="s">
        <v>36</v>
      </c>
      <c r="E111" s="41" t="s">
        <v>324</v>
      </c>
      <c r="F111" s="41"/>
      <c r="G111" s="45" t="s">
        <v>153</v>
      </c>
      <c r="H111" s="43"/>
      <c r="I111" s="34" t="s">
        <v>187</v>
      </c>
      <c r="J111" s="42"/>
      <c r="K111" s="42" t="s">
        <v>393</v>
      </c>
      <c r="L111" s="44"/>
      <c r="M111" s="40" t="str">
        <f t="shared" si="3"/>
        <v/>
      </c>
      <c r="N111" s="38" t="str">
        <f ca="1">IF(M111="","",IF(M111="","",IF(OR(IFERROR(INDEX('Calibration Schedule'!J:J,MATCH(B111,'Calibration Schedule'!C:C,0)),"")="Sent for calibration",IFERROR(INDEX('Calibration Schedule'!J:J,MATCH(B111,'Calibration Schedule'!C:C,0)),"")="Scheduled for calibration"),IFERROR(INDEX('Calibration Schedule'!J:J,MATCH(B111,'Calibration Schedule'!C:C,0)),""),IF(M111&lt;TODAY(),"Expired",IF(M111&lt;=TODAY()+30,"Expiring Soon","Pass")))))</f>
        <v/>
      </c>
      <c r="O111" s="43"/>
      <c r="P111" s="42"/>
      <c r="Q111" s="42"/>
      <c r="R111" s="52">
        <v>38</v>
      </c>
    </row>
    <row r="112" spans="1:18" ht="42" customHeight="1">
      <c r="A112" s="38">
        <f t="shared" si="2"/>
        <v>109</v>
      </c>
      <c r="B112" s="39" t="s">
        <v>325</v>
      </c>
      <c r="C112" s="38" t="s">
        <v>326</v>
      </c>
      <c r="D112" s="38" t="s">
        <v>36</v>
      </c>
      <c r="E112" s="39" t="s">
        <v>327</v>
      </c>
      <c r="F112" s="39"/>
      <c r="G112" s="45" t="s">
        <v>153</v>
      </c>
      <c r="H112" s="10"/>
      <c r="I112" s="38" t="s">
        <v>124</v>
      </c>
      <c r="J112" s="38"/>
      <c r="K112" s="38" t="s">
        <v>393</v>
      </c>
      <c r="L112" s="40"/>
      <c r="M112" s="40" t="str">
        <f t="shared" si="3"/>
        <v/>
      </c>
      <c r="N112" s="38" t="str">
        <f ca="1">IF(M112="","",IF(M112="","",IF(OR(IFERROR(INDEX('Calibration Schedule'!J:J,MATCH(B112,'Calibration Schedule'!C:C,0)),"")="Sent for calibration",IFERROR(INDEX('Calibration Schedule'!J:J,MATCH(B112,'Calibration Schedule'!C:C,0)),"")="Scheduled for calibration"),IFERROR(INDEX('Calibration Schedule'!J:J,MATCH(B112,'Calibration Schedule'!C:C,0)),""),IF(M112&lt;TODAY(),"Expired",IF(M112&lt;=TODAY()+30,"Expiring Soon","Pass")))))</f>
        <v/>
      </c>
      <c r="O112" s="10"/>
      <c r="P112" s="38"/>
      <c r="Q112" s="38"/>
      <c r="R112" s="52">
        <v>12</v>
      </c>
    </row>
    <row r="113" spans="1:18" ht="36" customHeight="1">
      <c r="A113" s="38">
        <f t="shared" si="2"/>
        <v>110</v>
      </c>
      <c r="B113" s="41" t="s">
        <v>328</v>
      </c>
      <c r="C113" s="42" t="s">
        <v>227</v>
      </c>
      <c r="D113" s="42" t="s">
        <v>36</v>
      </c>
      <c r="E113" s="41" t="s">
        <v>329</v>
      </c>
      <c r="F113" s="41"/>
      <c r="G113" s="41" t="s">
        <v>330</v>
      </c>
      <c r="H113" s="43"/>
      <c r="I113" s="38" t="s">
        <v>100</v>
      </c>
      <c r="J113" s="42"/>
      <c r="K113" s="42" t="s">
        <v>393</v>
      </c>
      <c r="L113" s="44"/>
      <c r="M113" s="40" t="str">
        <f t="shared" si="3"/>
        <v/>
      </c>
      <c r="N113" s="38" t="str">
        <f ca="1">IF(M113="","",IF(M113="","",IF(OR(IFERROR(INDEX('Calibration Schedule'!J:J,MATCH(B113,'Calibration Schedule'!C:C,0)),"")="Sent for calibration",IFERROR(INDEX('Calibration Schedule'!J:J,MATCH(B113,'Calibration Schedule'!C:C,0)),"")="Scheduled for calibration"),IFERROR(INDEX('Calibration Schedule'!J:J,MATCH(B113,'Calibration Schedule'!C:C,0)),""),IF(M113&lt;TODAY(),"Expired",IF(M113&lt;=TODAY()+30,"Expiring Soon","Pass")))))</f>
        <v/>
      </c>
      <c r="O113" s="43"/>
      <c r="P113" s="42"/>
      <c r="Q113" s="42"/>
      <c r="R113" s="52">
        <v>81</v>
      </c>
    </row>
    <row r="114" spans="1:18" ht="29">
      <c r="A114" s="38">
        <f t="shared" si="2"/>
        <v>111</v>
      </c>
      <c r="B114" s="39" t="s">
        <v>331</v>
      </c>
      <c r="C114" s="38" t="s">
        <v>227</v>
      </c>
      <c r="D114" s="38" t="s">
        <v>36</v>
      </c>
      <c r="E114" s="39" t="s">
        <v>333</v>
      </c>
      <c r="F114" s="39"/>
      <c r="G114" s="39"/>
      <c r="H114" s="10"/>
      <c r="I114" s="34" t="s">
        <v>187</v>
      </c>
      <c r="J114" s="38"/>
      <c r="K114" s="38" t="s">
        <v>393</v>
      </c>
      <c r="L114" s="40"/>
      <c r="M114" s="40" t="str">
        <f t="shared" si="3"/>
        <v/>
      </c>
      <c r="N114" s="38" t="str">
        <f ca="1">IF(M114="","",IF(M114="","",IF(OR(IFERROR(INDEX('Calibration Schedule'!J:J,MATCH(B114,'Calibration Schedule'!C:C,0)),"")="Sent for calibration",IFERROR(INDEX('Calibration Schedule'!J:J,MATCH(B114,'Calibration Schedule'!C:C,0)),"")="Scheduled for calibration"),IFERROR(INDEX('Calibration Schedule'!J:J,MATCH(B114,'Calibration Schedule'!C:C,0)),""),IF(M114&lt;TODAY(),"Expired",IF(M114&lt;=TODAY()+30,"Expiring Soon","Pass")))))</f>
        <v/>
      </c>
      <c r="O114" s="10"/>
      <c r="P114" s="38"/>
      <c r="Q114" s="38"/>
      <c r="R114" s="52">
        <v>78</v>
      </c>
    </row>
    <row r="115" spans="1:18">
      <c r="A115" s="38">
        <f t="shared" si="2"/>
        <v>112</v>
      </c>
      <c r="B115" s="41" t="s">
        <v>332</v>
      </c>
      <c r="C115" s="42" t="s">
        <v>308</v>
      </c>
      <c r="D115" s="42" t="s">
        <v>36</v>
      </c>
      <c r="E115" s="41" t="s">
        <v>334</v>
      </c>
      <c r="F115" s="41"/>
      <c r="G115" s="41"/>
      <c r="H115" s="43"/>
      <c r="I115" s="34" t="s">
        <v>187</v>
      </c>
      <c r="J115" s="42"/>
      <c r="K115" s="42" t="s">
        <v>393</v>
      </c>
      <c r="L115" s="44"/>
      <c r="M115" s="40" t="str">
        <f t="shared" si="3"/>
        <v/>
      </c>
      <c r="N115" s="38" t="str">
        <f ca="1">IF(M115="","",IF(M115="","",IF(OR(IFERROR(INDEX('Calibration Schedule'!J:J,MATCH(B115,'Calibration Schedule'!C:C,0)),"")="Sent for calibration",IFERROR(INDEX('Calibration Schedule'!J:J,MATCH(B115,'Calibration Schedule'!C:C,0)),"")="Scheduled for calibration"),IFERROR(INDEX('Calibration Schedule'!J:J,MATCH(B115,'Calibration Schedule'!C:C,0)),""),IF(M115&lt;TODAY(),"Expired",IF(M115&lt;=TODAY()+30,"Expiring Soon","Pass")))))</f>
        <v/>
      </c>
      <c r="O115" s="43"/>
      <c r="P115" s="42"/>
      <c r="Q115" s="42"/>
      <c r="R115" s="52">
        <v>67</v>
      </c>
    </row>
    <row r="116" spans="1:18" ht="43.5">
      <c r="A116" s="38">
        <f t="shared" si="2"/>
        <v>113</v>
      </c>
      <c r="B116" s="39" t="s">
        <v>335</v>
      </c>
      <c r="C116" s="38" t="s">
        <v>336</v>
      </c>
      <c r="D116" s="38" t="s">
        <v>36</v>
      </c>
      <c r="E116" s="39" t="s">
        <v>337</v>
      </c>
      <c r="F116" s="39"/>
      <c r="G116" s="39"/>
      <c r="H116" s="10"/>
      <c r="I116" s="34" t="s">
        <v>124</v>
      </c>
      <c r="J116" s="38"/>
      <c r="K116" s="38" t="s">
        <v>393</v>
      </c>
      <c r="L116" s="40"/>
      <c r="M116" s="40" t="str">
        <f t="shared" si="3"/>
        <v/>
      </c>
      <c r="N116" s="38" t="str">
        <f ca="1">IF(M116="","",IF(M116="","",IF(OR(IFERROR(INDEX('Calibration Schedule'!J:J,MATCH(B116,'Calibration Schedule'!C:C,0)),"")="Sent for calibration",IFERROR(INDEX('Calibration Schedule'!J:J,MATCH(B116,'Calibration Schedule'!C:C,0)),"")="Scheduled for calibration"),IFERROR(INDEX('Calibration Schedule'!J:J,MATCH(B116,'Calibration Schedule'!C:C,0)),""),IF(M116&lt;TODAY(),"Expired",IF(M116&lt;=TODAY()+30,"Expiring Soon","Pass")))))</f>
        <v/>
      </c>
      <c r="O116" s="10"/>
      <c r="P116" s="38"/>
      <c r="Q116" s="38" t="s">
        <v>199</v>
      </c>
      <c r="R116" s="52">
        <v>50</v>
      </c>
    </row>
    <row r="117" spans="1:18" ht="29">
      <c r="A117" s="38">
        <f t="shared" si="2"/>
        <v>114</v>
      </c>
      <c r="B117" s="41" t="s">
        <v>338</v>
      </c>
      <c r="C117" s="42" t="s">
        <v>339</v>
      </c>
      <c r="D117" s="42" t="s">
        <v>36</v>
      </c>
      <c r="E117" s="41" t="s">
        <v>340</v>
      </c>
      <c r="F117" s="41"/>
      <c r="G117" s="41"/>
      <c r="H117" s="43"/>
      <c r="I117" s="34" t="s">
        <v>124</v>
      </c>
      <c r="J117" s="42"/>
      <c r="K117" s="42" t="s">
        <v>393</v>
      </c>
      <c r="L117" s="44"/>
      <c r="M117" s="40" t="str">
        <f t="shared" si="3"/>
        <v/>
      </c>
      <c r="N117" s="38" t="str">
        <f ca="1">IF(M117="","",IF(M117="","",IF(OR(IFERROR(INDEX('Calibration Schedule'!J:J,MATCH(B117,'Calibration Schedule'!C:C,0)),"")="Sent for calibration",IFERROR(INDEX('Calibration Schedule'!J:J,MATCH(B117,'Calibration Schedule'!C:C,0)),"")="Scheduled for calibration"),IFERROR(INDEX('Calibration Schedule'!J:J,MATCH(B117,'Calibration Schedule'!C:C,0)),""),IF(M117&lt;TODAY(),"Expired",IF(M117&lt;=TODAY()+30,"Expiring Soon","Pass")))))</f>
        <v/>
      </c>
      <c r="O117" s="43"/>
      <c r="P117" s="42"/>
      <c r="Q117" s="42"/>
      <c r="R117" s="52">
        <v>74</v>
      </c>
    </row>
    <row r="118" spans="1:18" ht="43.5">
      <c r="A118" s="38">
        <f t="shared" si="2"/>
        <v>115</v>
      </c>
      <c r="B118" s="39" t="s">
        <v>341</v>
      </c>
      <c r="C118" s="38" t="s">
        <v>342</v>
      </c>
      <c r="D118" s="38" t="s">
        <v>36</v>
      </c>
      <c r="E118" s="39" t="s">
        <v>343</v>
      </c>
      <c r="F118" s="39"/>
      <c r="G118" s="39"/>
      <c r="H118" s="10"/>
      <c r="I118" s="34" t="s">
        <v>124</v>
      </c>
      <c r="J118" s="38"/>
      <c r="K118" s="38" t="s">
        <v>393</v>
      </c>
      <c r="L118" s="40"/>
      <c r="M118" s="40" t="str">
        <f t="shared" si="3"/>
        <v/>
      </c>
      <c r="N118" s="38" t="str">
        <f ca="1">IF(M118="","",IF(M118="","",IF(OR(IFERROR(INDEX('Calibration Schedule'!J:J,MATCH(B118,'Calibration Schedule'!C:C,0)),"")="Sent for calibration",IFERROR(INDEX('Calibration Schedule'!J:J,MATCH(B118,'Calibration Schedule'!C:C,0)),"")="Scheduled for calibration"),IFERROR(INDEX('Calibration Schedule'!J:J,MATCH(B118,'Calibration Schedule'!C:C,0)),""),IF(M118&lt;TODAY(),"Expired",IF(M118&lt;=TODAY()+30,"Expiring Soon","Pass")))))</f>
        <v/>
      </c>
      <c r="O118" s="10"/>
      <c r="P118" s="38"/>
      <c r="Q118" s="38"/>
      <c r="R118" s="52">
        <v>66</v>
      </c>
    </row>
    <row r="119" spans="1:18">
      <c r="A119" s="38">
        <f t="shared" si="2"/>
        <v>116</v>
      </c>
      <c r="B119" s="41" t="s">
        <v>344</v>
      </c>
      <c r="C119" s="42" t="s">
        <v>345</v>
      </c>
      <c r="D119" s="42" t="s">
        <v>36</v>
      </c>
      <c r="E119" s="41"/>
      <c r="F119" s="41"/>
      <c r="G119" s="41"/>
      <c r="H119" s="43"/>
      <c r="I119" s="67" t="s">
        <v>166</v>
      </c>
      <c r="J119" s="42"/>
      <c r="K119" s="42" t="s">
        <v>393</v>
      </c>
      <c r="L119" s="44"/>
      <c r="M119" s="40" t="str">
        <f t="shared" si="3"/>
        <v/>
      </c>
      <c r="N119" s="38" t="str">
        <f ca="1">IF(M119="","",IF(M119="","",IF(OR(IFERROR(INDEX('Calibration Schedule'!J:J,MATCH(B119,'Calibration Schedule'!C:C,0)),"")="Sent for calibration",IFERROR(INDEX('Calibration Schedule'!J:J,MATCH(B119,'Calibration Schedule'!C:C,0)),"")="Scheduled for calibration"),IFERROR(INDEX('Calibration Schedule'!J:J,MATCH(B119,'Calibration Schedule'!C:C,0)),""),IF(M119&lt;TODAY(),"Expired",IF(M119&lt;=TODAY()+30,"Expiring Soon","Pass")))))</f>
        <v/>
      </c>
      <c r="O119" s="43"/>
      <c r="P119" s="42"/>
      <c r="Q119" s="42"/>
      <c r="R119" s="52"/>
    </row>
    <row r="120" spans="1:18">
      <c r="A120" s="38">
        <f t="shared" si="2"/>
        <v>117</v>
      </c>
      <c r="B120" s="39" t="s">
        <v>346</v>
      </c>
      <c r="C120" s="38" t="s">
        <v>345</v>
      </c>
      <c r="D120" s="38" t="s">
        <v>36</v>
      </c>
      <c r="E120" s="39"/>
      <c r="F120" s="39"/>
      <c r="G120" s="39"/>
      <c r="H120" s="10"/>
      <c r="I120" s="68"/>
      <c r="J120" s="38"/>
      <c r="K120" s="38" t="s">
        <v>393</v>
      </c>
      <c r="L120" s="40"/>
      <c r="M120" s="40" t="str">
        <f t="shared" si="3"/>
        <v/>
      </c>
      <c r="N120" s="38" t="str">
        <f ca="1">IF(M120="","",IF(M120="","",IF(OR(IFERROR(INDEX('Calibration Schedule'!J:J,MATCH(B120,'Calibration Schedule'!C:C,0)),"")="Sent for calibration",IFERROR(INDEX('Calibration Schedule'!J:J,MATCH(B120,'Calibration Schedule'!C:C,0)),"")="Scheduled for calibration"),IFERROR(INDEX('Calibration Schedule'!J:J,MATCH(B120,'Calibration Schedule'!C:C,0)),""),IF(M120&lt;TODAY(),"Expired",IF(M120&lt;=TODAY()+30,"Expiring Soon","Pass")))))</f>
        <v/>
      </c>
      <c r="O120" s="10"/>
      <c r="P120" s="38"/>
      <c r="Q120" s="38"/>
      <c r="R120" s="52"/>
    </row>
    <row r="121" spans="1:18" ht="30.75" customHeight="1">
      <c r="A121" s="38">
        <f t="shared" si="2"/>
        <v>118</v>
      </c>
      <c r="B121" s="41" t="s">
        <v>347</v>
      </c>
      <c r="C121" s="42" t="s">
        <v>348</v>
      </c>
      <c r="D121" s="42" t="s">
        <v>483</v>
      </c>
      <c r="E121" s="41" t="s">
        <v>349</v>
      </c>
      <c r="F121" s="41"/>
      <c r="G121" s="41"/>
      <c r="H121" s="43"/>
      <c r="I121" s="42" t="s">
        <v>104</v>
      </c>
      <c r="J121" s="42"/>
      <c r="K121" s="42" t="s">
        <v>393</v>
      </c>
      <c r="L121" s="44"/>
      <c r="M121" s="40" t="str">
        <f t="shared" si="3"/>
        <v/>
      </c>
      <c r="N121" s="38" t="str">
        <f ca="1">IF(M121="","",IF(M121="","",IF(OR(IFERROR(INDEX('Calibration Schedule'!J:J,MATCH(B121,'Calibration Schedule'!C:C,0)),"")="Sent for calibration",IFERROR(INDEX('Calibration Schedule'!J:J,MATCH(B121,'Calibration Schedule'!C:C,0)),"")="Scheduled for calibration"),IFERROR(INDEX('Calibration Schedule'!J:J,MATCH(B121,'Calibration Schedule'!C:C,0)),""),IF(M121&lt;TODAY(),"Expired",IF(M121&lt;=TODAY()+30,"Expiring Soon","Pass")))))</f>
        <v/>
      </c>
      <c r="O121" s="43"/>
      <c r="P121" s="42"/>
      <c r="Q121" s="42"/>
      <c r="R121" s="52">
        <v>54</v>
      </c>
    </row>
    <row r="122" spans="1:18" ht="37.5" customHeight="1">
      <c r="A122" s="38">
        <f t="shared" si="2"/>
        <v>119</v>
      </c>
      <c r="B122" s="39" t="s">
        <v>350</v>
      </c>
      <c r="C122" s="38" t="s">
        <v>351</v>
      </c>
      <c r="D122" s="38" t="s">
        <v>482</v>
      </c>
      <c r="E122" s="39"/>
      <c r="F122" s="39"/>
      <c r="G122" s="39"/>
      <c r="H122" s="10"/>
      <c r="I122" s="34" t="s">
        <v>100</v>
      </c>
      <c r="J122" s="38"/>
      <c r="K122" s="38" t="s">
        <v>393</v>
      </c>
      <c r="L122" s="40"/>
      <c r="M122" s="40" t="str">
        <f t="shared" si="3"/>
        <v/>
      </c>
      <c r="N122" s="38" t="str">
        <f ca="1">IF(M122="","",IF(M122="","",IF(OR(IFERROR(INDEX('Calibration Schedule'!J:J,MATCH(B122,'Calibration Schedule'!C:C,0)),"")="Sent for calibration",IFERROR(INDEX('Calibration Schedule'!J:J,MATCH(B122,'Calibration Schedule'!C:C,0)),"")="Scheduled for calibration"),IFERROR(INDEX('Calibration Schedule'!J:J,MATCH(B122,'Calibration Schedule'!C:C,0)),""),IF(M122&lt;TODAY(),"Expired",IF(M122&lt;=TODAY()+30,"Expiring Soon","Pass")))))</f>
        <v/>
      </c>
      <c r="O122" s="10"/>
      <c r="P122" s="38"/>
      <c r="Q122" s="38"/>
      <c r="R122" s="52"/>
    </row>
    <row r="123" spans="1:18">
      <c r="A123" s="38">
        <f t="shared" si="2"/>
        <v>120</v>
      </c>
      <c r="B123" s="41" t="s">
        <v>352</v>
      </c>
      <c r="C123" s="42" t="s">
        <v>353</v>
      </c>
      <c r="D123" s="42" t="s">
        <v>483</v>
      </c>
      <c r="E123" s="41"/>
      <c r="F123" s="41"/>
      <c r="G123" s="41"/>
      <c r="H123" s="43"/>
      <c r="I123" s="35" t="s">
        <v>124</v>
      </c>
      <c r="J123" s="42"/>
      <c r="K123" s="42" t="s">
        <v>393</v>
      </c>
      <c r="L123" s="44"/>
      <c r="M123" s="40" t="str">
        <f t="shared" si="3"/>
        <v/>
      </c>
      <c r="N123" s="38" t="str">
        <f ca="1">IF(M123="","",IF(M123="","",IF(OR(IFERROR(INDEX('Calibration Schedule'!J:J,MATCH(B123,'Calibration Schedule'!C:C,0)),"")="Sent for calibration",IFERROR(INDEX('Calibration Schedule'!J:J,MATCH(B123,'Calibration Schedule'!C:C,0)),"")="Scheduled for calibration"),IFERROR(INDEX('Calibration Schedule'!J:J,MATCH(B123,'Calibration Schedule'!C:C,0)),""),IF(M123&lt;TODAY(),"Expired",IF(M123&lt;=TODAY()+30,"Expiring Soon","Pass")))))</f>
        <v/>
      </c>
      <c r="O123" s="43"/>
      <c r="P123" s="42"/>
      <c r="Q123" s="42"/>
      <c r="R123" s="52"/>
    </row>
    <row r="124" spans="1:18">
      <c r="A124" s="38">
        <f t="shared" si="2"/>
        <v>121</v>
      </c>
      <c r="B124" s="39" t="s">
        <v>354</v>
      </c>
      <c r="C124" s="38" t="s">
        <v>355</v>
      </c>
      <c r="D124" s="38" t="s">
        <v>483</v>
      </c>
      <c r="E124" s="39"/>
      <c r="F124" s="39"/>
      <c r="G124" s="39"/>
      <c r="H124" s="10"/>
      <c r="I124" s="35" t="s">
        <v>124</v>
      </c>
      <c r="J124" s="38"/>
      <c r="K124" s="38" t="s">
        <v>393</v>
      </c>
      <c r="L124" s="40"/>
      <c r="M124" s="40" t="str">
        <f t="shared" si="3"/>
        <v/>
      </c>
      <c r="N124" s="38" t="str">
        <f ca="1">IF(M124="","",IF(M124="","",IF(OR(IFERROR(INDEX('Calibration Schedule'!J:J,MATCH(B124,'Calibration Schedule'!C:C,0)),"")="Sent for calibration",IFERROR(INDEX('Calibration Schedule'!J:J,MATCH(B124,'Calibration Schedule'!C:C,0)),"")="Scheduled for calibration"),IFERROR(INDEX('Calibration Schedule'!J:J,MATCH(B124,'Calibration Schedule'!C:C,0)),""),IF(M124&lt;TODAY(),"Expired",IF(M124&lt;=TODAY()+30,"Expiring Soon","Pass")))))</f>
        <v/>
      </c>
      <c r="O124" s="10"/>
      <c r="P124" s="38"/>
      <c r="Q124" s="38"/>
      <c r="R124" s="52"/>
    </row>
    <row r="125" spans="1:18">
      <c r="A125" s="38">
        <f t="shared" si="2"/>
        <v>122</v>
      </c>
      <c r="B125" s="41" t="s">
        <v>356</v>
      </c>
      <c r="C125" s="42" t="s">
        <v>357</v>
      </c>
      <c r="D125" s="42" t="s">
        <v>483</v>
      </c>
      <c r="E125" s="41"/>
      <c r="F125" s="41"/>
      <c r="G125" s="41"/>
      <c r="H125" s="43"/>
      <c r="I125" s="35" t="s">
        <v>124</v>
      </c>
      <c r="J125" s="42"/>
      <c r="K125" s="42" t="s">
        <v>393</v>
      </c>
      <c r="L125" s="44"/>
      <c r="M125" s="40" t="str">
        <f t="shared" si="3"/>
        <v/>
      </c>
      <c r="N125" s="38" t="str">
        <f ca="1">IF(M125="","",IF(M125="","",IF(OR(IFERROR(INDEX('Calibration Schedule'!J:J,MATCH(B125,'Calibration Schedule'!C:C,0)),"")="Sent for calibration",IFERROR(INDEX('Calibration Schedule'!J:J,MATCH(B125,'Calibration Schedule'!C:C,0)),"")="Scheduled for calibration"),IFERROR(INDEX('Calibration Schedule'!J:J,MATCH(B125,'Calibration Schedule'!C:C,0)),""),IF(M125&lt;TODAY(),"Expired",IF(M125&lt;=TODAY()+30,"Expiring Soon","Pass")))))</f>
        <v/>
      </c>
      <c r="O125" s="43"/>
      <c r="P125" s="42"/>
      <c r="Q125" s="42"/>
      <c r="R125" s="52"/>
    </row>
    <row r="126" spans="1:18">
      <c r="A126" s="38">
        <f t="shared" si="2"/>
        <v>123</v>
      </c>
      <c r="B126" s="39" t="s">
        <v>358</v>
      </c>
      <c r="C126" s="38" t="s">
        <v>359</v>
      </c>
      <c r="D126" s="38" t="s">
        <v>483</v>
      </c>
      <c r="E126" s="39"/>
      <c r="F126" s="39"/>
      <c r="G126" s="39"/>
      <c r="H126" s="10"/>
      <c r="I126" s="35" t="s">
        <v>124</v>
      </c>
      <c r="J126" s="38"/>
      <c r="K126" s="38" t="s">
        <v>393</v>
      </c>
      <c r="L126" s="40"/>
      <c r="M126" s="40" t="str">
        <f t="shared" si="3"/>
        <v/>
      </c>
      <c r="N126" s="38" t="str">
        <f ca="1">IF(M126="","",IF(M126="","",IF(OR(IFERROR(INDEX('Calibration Schedule'!J:J,MATCH(B126,'Calibration Schedule'!C:C,0)),"")="Sent for calibration",IFERROR(INDEX('Calibration Schedule'!J:J,MATCH(B126,'Calibration Schedule'!C:C,0)),"")="Scheduled for calibration"),IFERROR(INDEX('Calibration Schedule'!J:J,MATCH(B126,'Calibration Schedule'!C:C,0)),""),IF(M126&lt;TODAY(),"Expired",IF(M126&lt;=TODAY()+30,"Expiring Soon","Pass")))))</f>
        <v/>
      </c>
      <c r="O126" s="10"/>
      <c r="P126" s="38"/>
      <c r="Q126" s="38" t="s">
        <v>191</v>
      </c>
      <c r="R126" s="52"/>
    </row>
    <row r="127" spans="1:18">
      <c r="A127" s="38">
        <f t="shared" si="2"/>
        <v>124</v>
      </c>
      <c r="B127" s="41" t="s">
        <v>360</v>
      </c>
      <c r="C127" s="42" t="s">
        <v>361</v>
      </c>
      <c r="D127" s="42" t="s">
        <v>483</v>
      </c>
      <c r="E127" s="41"/>
      <c r="F127" s="41"/>
      <c r="G127" s="41"/>
      <c r="H127" s="43"/>
      <c r="I127" s="35" t="s">
        <v>124</v>
      </c>
      <c r="J127" s="42"/>
      <c r="K127" s="42" t="s">
        <v>393</v>
      </c>
      <c r="L127" s="44"/>
      <c r="M127" s="40" t="str">
        <f t="shared" si="3"/>
        <v/>
      </c>
      <c r="N127" s="38" t="str">
        <f ca="1">IF(M127="","",IF(M127="","",IF(OR(IFERROR(INDEX('Calibration Schedule'!J:J,MATCH(B127,'Calibration Schedule'!C:C,0)),"")="Sent for calibration",IFERROR(INDEX('Calibration Schedule'!J:J,MATCH(B127,'Calibration Schedule'!C:C,0)),"")="Scheduled for calibration"),IFERROR(INDEX('Calibration Schedule'!J:J,MATCH(B127,'Calibration Schedule'!C:C,0)),""),IF(M127&lt;TODAY(),"Expired",IF(M127&lt;=TODAY()+30,"Expiring Soon","Pass")))))</f>
        <v/>
      </c>
      <c r="O127" s="43"/>
      <c r="P127" s="42"/>
      <c r="Q127" s="42"/>
      <c r="R127" s="52"/>
    </row>
    <row r="128" spans="1:18">
      <c r="A128" s="38">
        <f t="shared" si="2"/>
        <v>125</v>
      </c>
      <c r="B128" s="39" t="s">
        <v>362</v>
      </c>
      <c r="C128" s="38" t="s">
        <v>363</v>
      </c>
      <c r="D128" s="38" t="s">
        <v>483</v>
      </c>
      <c r="E128" s="39"/>
      <c r="F128" s="39"/>
      <c r="G128" s="39"/>
      <c r="H128" s="10"/>
      <c r="I128" s="35" t="s">
        <v>124</v>
      </c>
      <c r="J128" s="38"/>
      <c r="K128" s="38" t="s">
        <v>393</v>
      </c>
      <c r="L128" s="40"/>
      <c r="M128" s="40" t="str">
        <f t="shared" si="3"/>
        <v/>
      </c>
      <c r="N128" s="38" t="str">
        <f ca="1">IF(M128="","",IF(M128="","",IF(OR(IFERROR(INDEX('Calibration Schedule'!J:J,MATCH(B128,'Calibration Schedule'!C:C,0)),"")="Sent for calibration",IFERROR(INDEX('Calibration Schedule'!J:J,MATCH(B128,'Calibration Schedule'!C:C,0)),"")="Scheduled for calibration"),IFERROR(INDEX('Calibration Schedule'!J:J,MATCH(B128,'Calibration Schedule'!C:C,0)),""),IF(M128&lt;TODAY(),"Expired",IF(M128&lt;=TODAY()+30,"Expiring Soon","Pass")))))</f>
        <v/>
      </c>
      <c r="O128" s="10"/>
      <c r="P128" s="38"/>
      <c r="Q128" s="38"/>
      <c r="R128" s="52"/>
    </row>
    <row r="129" spans="1:18">
      <c r="A129" s="38">
        <f t="shared" si="2"/>
        <v>126</v>
      </c>
      <c r="B129" s="41" t="s">
        <v>364</v>
      </c>
      <c r="C129" s="42" t="s">
        <v>365</v>
      </c>
      <c r="D129" s="42" t="s">
        <v>483</v>
      </c>
      <c r="E129" s="41" t="s">
        <v>366</v>
      </c>
      <c r="F129" s="41"/>
      <c r="G129" s="41"/>
      <c r="H129" s="43"/>
      <c r="I129" s="36" t="s">
        <v>390</v>
      </c>
      <c r="J129" s="42"/>
      <c r="K129" s="42" t="s">
        <v>393</v>
      </c>
      <c r="L129" s="44"/>
      <c r="M129" s="40" t="str">
        <f t="shared" si="3"/>
        <v/>
      </c>
      <c r="N129" s="38" t="str">
        <f ca="1">IF(M129="","",IF(M129="","",IF(OR(IFERROR(INDEX('Calibration Schedule'!J:J,MATCH(B129,'Calibration Schedule'!C:C,0)),"")="Sent for calibration",IFERROR(INDEX('Calibration Schedule'!J:J,MATCH(B129,'Calibration Schedule'!C:C,0)),"")="Scheduled for calibration"),IFERROR(INDEX('Calibration Schedule'!J:J,MATCH(B129,'Calibration Schedule'!C:C,0)),""),IF(M129&lt;TODAY(),"Expired",IF(M129&lt;=TODAY()+30,"Expiring Soon","Pass")))))</f>
        <v/>
      </c>
      <c r="O129" s="43"/>
      <c r="P129" s="42"/>
      <c r="Q129" s="42"/>
      <c r="R129" s="52">
        <v>20</v>
      </c>
    </row>
    <row r="130" spans="1:18">
      <c r="A130" s="38">
        <f t="shared" si="2"/>
        <v>127</v>
      </c>
      <c r="B130" s="39" t="s">
        <v>367</v>
      </c>
      <c r="C130" s="38" t="s">
        <v>227</v>
      </c>
      <c r="D130" s="38" t="s">
        <v>36</v>
      </c>
      <c r="E130" s="39" t="s">
        <v>369</v>
      </c>
      <c r="F130" s="39"/>
      <c r="G130" s="39"/>
      <c r="H130" s="10"/>
      <c r="I130" s="36" t="s">
        <v>390</v>
      </c>
      <c r="J130" s="38"/>
      <c r="K130" s="38" t="s">
        <v>393</v>
      </c>
      <c r="L130" s="40"/>
      <c r="M130" s="40" t="str">
        <f t="shared" si="3"/>
        <v/>
      </c>
      <c r="N130" s="38" t="str">
        <f ca="1">IF(M130="","",IF(M130="","",IF(OR(IFERROR(INDEX('Calibration Schedule'!J:J,MATCH(B130,'Calibration Schedule'!C:C,0)),"")="Sent for calibration",IFERROR(INDEX('Calibration Schedule'!J:J,MATCH(B130,'Calibration Schedule'!C:C,0)),"")="Scheduled for calibration"),IFERROR(INDEX('Calibration Schedule'!J:J,MATCH(B130,'Calibration Schedule'!C:C,0)),""),IF(M130&lt;TODAY(),"Expired",IF(M130&lt;=TODAY()+30,"Expiring Soon","Pass")))))</f>
        <v/>
      </c>
      <c r="O130" s="10"/>
      <c r="P130" s="38"/>
      <c r="Q130" s="38"/>
      <c r="R130" s="52">
        <v>87</v>
      </c>
    </row>
    <row r="131" spans="1:18">
      <c r="A131" s="38">
        <f t="shared" si="2"/>
        <v>128</v>
      </c>
      <c r="B131" s="41" t="s">
        <v>368</v>
      </c>
      <c r="C131" s="42" t="s">
        <v>227</v>
      </c>
      <c r="D131" s="42" t="s">
        <v>36</v>
      </c>
      <c r="E131" s="41" t="s">
        <v>370</v>
      </c>
      <c r="F131" s="41"/>
      <c r="G131" s="41"/>
      <c r="H131" s="43"/>
      <c r="I131" s="36" t="s">
        <v>390</v>
      </c>
      <c r="J131" s="42"/>
      <c r="K131" s="42" t="s">
        <v>393</v>
      </c>
      <c r="L131" s="44"/>
      <c r="M131" s="40" t="str">
        <f t="shared" si="3"/>
        <v/>
      </c>
      <c r="N131" s="38" t="str">
        <f ca="1">IF(M131="","",IF(M131="","",IF(OR(IFERROR(INDEX('Calibration Schedule'!J:J,MATCH(B131,'Calibration Schedule'!C:C,0)),"")="Sent for calibration",IFERROR(INDEX('Calibration Schedule'!J:J,MATCH(B131,'Calibration Schedule'!C:C,0)),"")="Scheduled for calibration"),IFERROR(INDEX('Calibration Schedule'!J:J,MATCH(B131,'Calibration Schedule'!C:C,0)),""),IF(M131&lt;TODAY(),"Expired",IF(M131&lt;=TODAY()+30,"Expiring Soon","Pass")))))</f>
        <v/>
      </c>
      <c r="O131" s="43"/>
      <c r="P131" s="42"/>
      <c r="Q131" s="42"/>
      <c r="R131" s="52">
        <v>88</v>
      </c>
    </row>
    <row r="132" spans="1:18">
      <c r="A132" s="38">
        <f t="shared" ref="A132:A195" si="4">IF(B132="","",ROW(B132)-3)</f>
        <v>129</v>
      </c>
      <c r="B132" s="39" t="s">
        <v>371</v>
      </c>
      <c r="C132" s="38" t="s">
        <v>372</v>
      </c>
      <c r="D132" s="38" t="s">
        <v>481</v>
      </c>
      <c r="E132" s="39" t="s">
        <v>373</v>
      </c>
      <c r="F132" s="39"/>
      <c r="G132" s="39"/>
      <c r="H132" s="10"/>
      <c r="I132" s="36" t="s">
        <v>390</v>
      </c>
      <c r="J132" s="38"/>
      <c r="K132" s="38" t="s">
        <v>393</v>
      </c>
      <c r="L132" s="40"/>
      <c r="M132" s="40" t="str">
        <f t="shared" si="3"/>
        <v/>
      </c>
      <c r="N132" s="38" t="str">
        <f ca="1">IF(M132="","",IF(M132="","",IF(OR(IFERROR(INDEX('Calibration Schedule'!J:J,MATCH(B132,'Calibration Schedule'!C:C,0)),"")="Sent for calibration",IFERROR(INDEX('Calibration Schedule'!J:J,MATCH(B132,'Calibration Schedule'!C:C,0)),"")="Scheduled for calibration"),IFERROR(INDEX('Calibration Schedule'!J:J,MATCH(B132,'Calibration Schedule'!C:C,0)),""),IF(M132&lt;TODAY(),"Expired",IF(M132&lt;=TODAY()+30,"Expiring Soon","Pass")))))</f>
        <v/>
      </c>
      <c r="O132" s="10"/>
      <c r="P132" s="38"/>
      <c r="Q132" s="38"/>
      <c r="R132" s="52">
        <v>36</v>
      </c>
    </row>
    <row r="133" spans="1:18">
      <c r="A133" s="38">
        <f t="shared" si="4"/>
        <v>130</v>
      </c>
      <c r="B133" s="41" t="s">
        <v>374</v>
      </c>
      <c r="C133" s="42" t="s">
        <v>372</v>
      </c>
      <c r="D133" s="42" t="s">
        <v>481</v>
      </c>
      <c r="E133" s="41" t="s">
        <v>375</v>
      </c>
      <c r="F133" s="41"/>
      <c r="G133" s="41"/>
      <c r="H133" s="43"/>
      <c r="I133" s="36" t="s">
        <v>390</v>
      </c>
      <c r="J133" s="42"/>
      <c r="K133" s="42" t="s">
        <v>393</v>
      </c>
      <c r="L133" s="44"/>
      <c r="M133" s="40" t="str">
        <f t="shared" ref="M133:M196" si="5">IF(B133="","",IF(K133="Not Eligible","",IFERROR(EDATE(L133,K133),"")))</f>
        <v/>
      </c>
      <c r="N133" s="38" t="str">
        <f ca="1">IF(M133="","",IF(M133="","",IF(OR(IFERROR(INDEX('Calibration Schedule'!J:J,MATCH(B133,'Calibration Schedule'!C:C,0)),"")="Sent for calibration",IFERROR(INDEX('Calibration Schedule'!J:J,MATCH(B133,'Calibration Schedule'!C:C,0)),"")="Scheduled for calibration"),IFERROR(INDEX('Calibration Schedule'!J:J,MATCH(B133,'Calibration Schedule'!C:C,0)),""),IF(M133&lt;TODAY(),"Expired",IF(M133&lt;=TODAY()+30,"Expiring Soon","Pass")))))</f>
        <v/>
      </c>
      <c r="O133" s="43"/>
      <c r="P133" s="42"/>
      <c r="Q133" s="42"/>
      <c r="R133" s="52">
        <v>35</v>
      </c>
    </row>
    <row r="134" spans="1:18">
      <c r="A134" s="38">
        <f t="shared" si="4"/>
        <v>131</v>
      </c>
      <c r="B134" s="39" t="s">
        <v>376</v>
      </c>
      <c r="C134" s="38" t="s">
        <v>377</v>
      </c>
      <c r="D134" s="38" t="s">
        <v>483</v>
      </c>
      <c r="E134" s="39" t="s">
        <v>378</v>
      </c>
      <c r="F134" s="39"/>
      <c r="G134" s="39"/>
      <c r="H134" s="10"/>
      <c r="I134" s="36" t="s">
        <v>390</v>
      </c>
      <c r="J134" s="38"/>
      <c r="K134" s="38" t="s">
        <v>393</v>
      </c>
      <c r="L134" s="40"/>
      <c r="M134" s="40" t="str">
        <f t="shared" si="5"/>
        <v/>
      </c>
      <c r="N134" s="38" t="str">
        <f ca="1">IF(M134="","",IF(M134="","",IF(OR(IFERROR(INDEX('Calibration Schedule'!J:J,MATCH(B134,'Calibration Schedule'!C:C,0)),"")="Sent for calibration",IFERROR(INDEX('Calibration Schedule'!J:J,MATCH(B134,'Calibration Schedule'!C:C,0)),"")="Scheduled for calibration"),IFERROR(INDEX('Calibration Schedule'!J:J,MATCH(B134,'Calibration Schedule'!C:C,0)),""),IF(M134&lt;TODAY(),"Expired",IF(M134&lt;=TODAY()+30,"Expiring Soon","Pass")))))</f>
        <v/>
      </c>
      <c r="O134" s="10"/>
      <c r="P134" s="38"/>
      <c r="Q134" s="38"/>
      <c r="R134" s="52">
        <v>24</v>
      </c>
    </row>
    <row r="135" spans="1:18">
      <c r="A135" s="38">
        <f t="shared" si="4"/>
        <v>132</v>
      </c>
      <c r="B135" s="41" t="s">
        <v>379</v>
      </c>
      <c r="C135" s="42" t="s">
        <v>227</v>
      </c>
      <c r="D135" s="42" t="s">
        <v>36</v>
      </c>
      <c r="E135" s="41" t="s">
        <v>380</v>
      </c>
      <c r="F135" s="41"/>
      <c r="G135" s="41"/>
      <c r="H135" s="43"/>
      <c r="I135" s="36" t="s">
        <v>390</v>
      </c>
      <c r="J135" s="42"/>
      <c r="K135" s="42" t="s">
        <v>393</v>
      </c>
      <c r="L135" s="44"/>
      <c r="M135" s="40" t="str">
        <f t="shared" si="5"/>
        <v/>
      </c>
      <c r="N135" s="38" t="str">
        <f ca="1">IF(M135="","",IF(M135="","",IF(OR(IFERROR(INDEX('Calibration Schedule'!J:J,MATCH(B135,'Calibration Schedule'!C:C,0)),"")="Sent for calibration",IFERROR(INDEX('Calibration Schedule'!J:J,MATCH(B135,'Calibration Schedule'!C:C,0)),"")="Scheduled for calibration"),IFERROR(INDEX('Calibration Schedule'!J:J,MATCH(B135,'Calibration Schedule'!C:C,0)),""),IF(M135&lt;TODAY(),"Expired",IF(M135&lt;=TODAY()+30,"Expiring Soon","Pass")))))</f>
        <v/>
      </c>
      <c r="O135" s="43"/>
      <c r="P135" s="42"/>
      <c r="Q135" s="42"/>
      <c r="R135" s="52">
        <v>80</v>
      </c>
    </row>
    <row r="136" spans="1:18">
      <c r="A136" s="38">
        <f t="shared" si="4"/>
        <v>133</v>
      </c>
      <c r="B136" s="39" t="s">
        <v>381</v>
      </c>
      <c r="C136" s="38" t="s">
        <v>382</v>
      </c>
      <c r="D136" s="38" t="s">
        <v>481</v>
      </c>
      <c r="E136" s="39" t="s">
        <v>383</v>
      </c>
      <c r="F136" s="39"/>
      <c r="G136" s="39"/>
      <c r="H136" s="10"/>
      <c r="I136" s="36" t="s">
        <v>390</v>
      </c>
      <c r="J136" s="38"/>
      <c r="K136" s="38"/>
      <c r="L136" s="40"/>
      <c r="M136" s="40">
        <f t="shared" si="5"/>
        <v>0</v>
      </c>
      <c r="N136" s="38" t="str">
        <f ca="1">IF(M136="","",IF(M136="","",IF(OR(IFERROR(INDEX('Calibration Schedule'!J:J,MATCH(B136,'Calibration Schedule'!C:C,0)),"")="Sent for calibration",IFERROR(INDEX('Calibration Schedule'!J:J,MATCH(B136,'Calibration Schedule'!C:C,0)),"")="Scheduled for calibration"),IFERROR(INDEX('Calibration Schedule'!J:J,MATCH(B136,'Calibration Schedule'!C:C,0)),""),IF(M136&lt;TODAY(),"Expired",IF(M136&lt;=TODAY()+30,"Expiring Soon","Pass")))))</f>
        <v>Expired</v>
      </c>
      <c r="O136" s="10"/>
      <c r="P136" s="38"/>
      <c r="Q136" s="38"/>
      <c r="R136" s="52">
        <v>93</v>
      </c>
    </row>
    <row r="137" spans="1:18">
      <c r="A137" s="38">
        <f t="shared" si="4"/>
        <v>134</v>
      </c>
      <c r="B137" s="41" t="s">
        <v>384</v>
      </c>
      <c r="C137" s="42" t="s">
        <v>385</v>
      </c>
      <c r="D137" s="42" t="s">
        <v>483</v>
      </c>
      <c r="E137" s="41"/>
      <c r="F137" s="41"/>
      <c r="G137" s="41"/>
      <c r="H137" s="43"/>
      <c r="I137" s="36" t="s">
        <v>166</v>
      </c>
      <c r="J137" s="42"/>
      <c r="K137" s="42" t="s">
        <v>393</v>
      </c>
      <c r="L137" s="44"/>
      <c r="M137" s="40" t="str">
        <f t="shared" si="5"/>
        <v/>
      </c>
      <c r="N137" s="38" t="str">
        <f ca="1">IF(M137="","",IF(M137="","",IF(OR(IFERROR(INDEX('Calibration Schedule'!J:J,MATCH(B137,'Calibration Schedule'!C:C,0)),"")="Sent for calibration",IFERROR(INDEX('Calibration Schedule'!J:J,MATCH(B137,'Calibration Schedule'!C:C,0)),"")="Scheduled for calibration"),IFERROR(INDEX('Calibration Schedule'!J:J,MATCH(B137,'Calibration Schedule'!C:C,0)),""),IF(M137&lt;TODAY(),"Expired",IF(M137&lt;=TODAY()+30,"Expiring Soon","Pass")))))</f>
        <v/>
      </c>
      <c r="O137" s="43"/>
      <c r="P137" s="42"/>
      <c r="Q137" s="42"/>
      <c r="R137" s="52">
        <v>15</v>
      </c>
    </row>
    <row r="138" spans="1:18">
      <c r="A138" s="38">
        <f t="shared" si="4"/>
        <v>135</v>
      </c>
      <c r="B138" s="39" t="s">
        <v>386</v>
      </c>
      <c r="C138" s="38" t="s">
        <v>387</v>
      </c>
      <c r="D138" s="38" t="s">
        <v>483</v>
      </c>
      <c r="E138" s="39"/>
      <c r="F138" s="39"/>
      <c r="G138" s="39"/>
      <c r="H138" s="10"/>
      <c r="I138" s="36" t="s">
        <v>166</v>
      </c>
      <c r="J138" s="38"/>
      <c r="K138" s="38" t="s">
        <v>393</v>
      </c>
      <c r="L138" s="40"/>
      <c r="M138" s="40" t="str">
        <f t="shared" si="5"/>
        <v/>
      </c>
      <c r="N138" s="38" t="str">
        <f ca="1">IF(M138="","",IF(M138="","",IF(OR(IFERROR(INDEX('Calibration Schedule'!J:J,MATCH(B138,'Calibration Schedule'!C:C,0)),"")="Sent for calibration",IFERROR(INDEX('Calibration Schedule'!J:J,MATCH(B138,'Calibration Schedule'!C:C,0)),"")="Scheduled for calibration"),IFERROR(INDEX('Calibration Schedule'!J:J,MATCH(B138,'Calibration Schedule'!C:C,0)),""),IF(M138&lt;TODAY(),"Expired",IF(M138&lt;=TODAY()+30,"Expiring Soon","Pass")))))</f>
        <v/>
      </c>
      <c r="O138" s="10"/>
      <c r="P138" s="38"/>
      <c r="Q138" s="38"/>
      <c r="R138" s="52">
        <v>16</v>
      </c>
    </row>
    <row r="139" spans="1:18">
      <c r="A139" s="38">
        <f t="shared" si="4"/>
        <v>136</v>
      </c>
      <c r="B139" s="41" t="s">
        <v>388</v>
      </c>
      <c r="C139" s="42" t="s">
        <v>389</v>
      </c>
      <c r="D139" s="42" t="s">
        <v>483</v>
      </c>
      <c r="E139" s="41"/>
      <c r="F139" s="41"/>
      <c r="G139" s="41"/>
      <c r="H139" s="43"/>
      <c r="I139" s="36" t="s">
        <v>166</v>
      </c>
      <c r="J139" s="42"/>
      <c r="K139" s="42" t="s">
        <v>393</v>
      </c>
      <c r="L139" s="44"/>
      <c r="M139" s="40" t="str">
        <f t="shared" si="5"/>
        <v/>
      </c>
      <c r="N139" s="38" t="str">
        <f ca="1">IF(M139="","",IF(M139="","",IF(OR(IFERROR(INDEX('Calibration Schedule'!J:J,MATCH(B139,'Calibration Schedule'!C:C,0)),"")="Sent for calibration",IFERROR(INDEX('Calibration Schedule'!J:J,MATCH(B139,'Calibration Schedule'!C:C,0)),"")="Scheduled for calibration"),IFERROR(INDEX('Calibration Schedule'!J:J,MATCH(B139,'Calibration Schedule'!C:C,0)),""),IF(M139&lt;TODAY(),"Expired",IF(M139&lt;=TODAY()+30,"Expiring Soon","Pass")))))</f>
        <v/>
      </c>
      <c r="O139" s="43"/>
      <c r="P139" s="42"/>
      <c r="Q139" s="42"/>
      <c r="R139" s="52"/>
    </row>
    <row r="140" spans="1:18">
      <c r="A140" s="38">
        <f t="shared" si="4"/>
        <v>137</v>
      </c>
      <c r="B140" s="39" t="s">
        <v>394</v>
      </c>
      <c r="C140" s="38" t="s">
        <v>382</v>
      </c>
      <c r="D140" s="38" t="s">
        <v>481</v>
      </c>
      <c r="E140" s="39"/>
      <c r="F140" s="39"/>
      <c r="G140" s="39"/>
      <c r="H140" s="10"/>
      <c r="I140" s="38"/>
      <c r="J140" s="38"/>
      <c r="K140" s="38"/>
      <c r="L140" s="40"/>
      <c r="M140" s="40">
        <f t="shared" si="5"/>
        <v>0</v>
      </c>
      <c r="N140" s="38" t="str">
        <f ca="1">IF(M140="","",IF(M140="","",IF(OR(IFERROR(INDEX('Calibration Schedule'!J:J,MATCH(B140,'Calibration Schedule'!C:C,0)),"")="Sent for calibration",IFERROR(INDEX('Calibration Schedule'!J:J,MATCH(B140,'Calibration Schedule'!C:C,0)),"")="Scheduled for calibration"),IFERROR(INDEX('Calibration Schedule'!J:J,MATCH(B140,'Calibration Schedule'!C:C,0)),""),IF(M140&lt;TODAY(),"Expired",IF(M140&lt;=TODAY()+30,"Expiring Soon","Pass")))))</f>
        <v>Expired</v>
      </c>
      <c r="O140" s="10"/>
      <c r="P140" s="38"/>
      <c r="Q140" s="38"/>
      <c r="R140" s="52"/>
    </row>
    <row r="141" spans="1:18" ht="34.5" customHeight="1">
      <c r="A141" s="38">
        <f t="shared" si="4"/>
        <v>138</v>
      </c>
      <c r="B141" s="41" t="s">
        <v>395</v>
      </c>
      <c r="C141" s="42" t="s">
        <v>396</v>
      </c>
      <c r="D141" s="42" t="s">
        <v>36</v>
      </c>
      <c r="E141" s="41" t="s">
        <v>397</v>
      </c>
      <c r="F141" s="41"/>
      <c r="G141" s="41"/>
      <c r="H141" s="43"/>
      <c r="I141" s="42" t="s">
        <v>147</v>
      </c>
      <c r="J141" s="42"/>
      <c r="K141" s="42" t="s">
        <v>393</v>
      </c>
      <c r="L141" s="44"/>
      <c r="M141" s="40" t="str">
        <f t="shared" si="5"/>
        <v/>
      </c>
      <c r="N141" s="38" t="str">
        <f ca="1">IF(M141="","",IF(M141="","",IF(OR(IFERROR(INDEX('Calibration Schedule'!J:J,MATCH(B141,'Calibration Schedule'!C:C,0)),"")="Sent for calibration",IFERROR(INDEX('Calibration Schedule'!J:J,MATCH(B141,'Calibration Schedule'!C:C,0)),"")="Scheduled for calibration"),IFERROR(INDEX('Calibration Schedule'!J:J,MATCH(B141,'Calibration Schedule'!C:C,0)),""),IF(M141&lt;TODAY(),"Expired",IF(M141&lt;=TODAY()+30,"Expiring Soon","Pass")))))</f>
        <v/>
      </c>
      <c r="O141" s="43"/>
      <c r="P141" s="42"/>
      <c r="Q141" s="42"/>
      <c r="R141" s="52"/>
    </row>
    <row r="142" spans="1:18" ht="34.5" customHeight="1">
      <c r="A142" s="38">
        <f t="shared" si="4"/>
        <v>139</v>
      </c>
      <c r="B142" s="39" t="s">
        <v>398</v>
      </c>
      <c r="C142" s="38" t="s">
        <v>399</v>
      </c>
      <c r="D142" s="38" t="s">
        <v>483</v>
      </c>
      <c r="E142" s="39" t="s">
        <v>400</v>
      </c>
      <c r="F142" s="39"/>
      <c r="G142" s="39"/>
      <c r="H142" s="10"/>
      <c r="I142" s="42" t="s">
        <v>147</v>
      </c>
      <c r="J142" s="38"/>
      <c r="K142" s="38" t="s">
        <v>393</v>
      </c>
      <c r="L142" s="40"/>
      <c r="M142" s="40" t="str">
        <f t="shared" si="5"/>
        <v/>
      </c>
      <c r="N142" s="38" t="str">
        <f ca="1">IF(M142="","",IF(M142="","",IF(OR(IFERROR(INDEX('Calibration Schedule'!J:J,MATCH(B142,'Calibration Schedule'!C:C,0)),"")="Sent for calibration",IFERROR(INDEX('Calibration Schedule'!J:J,MATCH(B142,'Calibration Schedule'!C:C,0)),"")="Scheduled for calibration"),IFERROR(INDEX('Calibration Schedule'!J:J,MATCH(B142,'Calibration Schedule'!C:C,0)),""),IF(M142&lt;TODAY(),"Expired",IF(M142&lt;=TODAY()+30,"Expiring Soon","Pass")))))</f>
        <v/>
      </c>
      <c r="O142" s="10"/>
      <c r="P142" s="38"/>
      <c r="Q142" s="38"/>
      <c r="R142" s="52"/>
    </row>
    <row r="143" spans="1:18">
      <c r="A143" s="38">
        <f t="shared" si="4"/>
        <v>140</v>
      </c>
      <c r="B143" s="41" t="s">
        <v>401</v>
      </c>
      <c r="C143" s="42" t="s">
        <v>402</v>
      </c>
      <c r="D143" s="42" t="s">
        <v>483</v>
      </c>
      <c r="E143" s="41" t="s">
        <v>403</v>
      </c>
      <c r="F143" s="41"/>
      <c r="G143" s="41"/>
      <c r="H143" s="43"/>
      <c r="I143" s="36" t="s">
        <v>166</v>
      </c>
      <c r="J143" s="42"/>
      <c r="K143" s="42" t="s">
        <v>393</v>
      </c>
      <c r="L143" s="44"/>
      <c r="M143" s="40" t="str">
        <f t="shared" si="5"/>
        <v/>
      </c>
      <c r="N143" s="38" t="str">
        <f ca="1">IF(M143="","",IF(M143="","",IF(OR(IFERROR(INDEX('Calibration Schedule'!J:J,MATCH(B143,'Calibration Schedule'!C:C,0)),"")="Sent for calibration",IFERROR(INDEX('Calibration Schedule'!J:J,MATCH(B143,'Calibration Schedule'!C:C,0)),"")="Scheduled for calibration"),IFERROR(INDEX('Calibration Schedule'!J:J,MATCH(B143,'Calibration Schedule'!C:C,0)),""),IF(M143&lt;TODAY(),"Expired",IF(M143&lt;=TODAY()+30,"Expiring Soon","Pass")))))</f>
        <v/>
      </c>
      <c r="O143" s="43"/>
      <c r="P143" s="42"/>
      <c r="Q143" s="42"/>
      <c r="R143" s="52"/>
    </row>
    <row r="144" spans="1:18">
      <c r="A144" s="38">
        <f t="shared" si="4"/>
        <v>141</v>
      </c>
      <c r="B144" s="39" t="s">
        <v>404</v>
      </c>
      <c r="C144" s="38" t="s">
        <v>405</v>
      </c>
      <c r="D144" s="38" t="s">
        <v>483</v>
      </c>
      <c r="E144" s="39" t="s">
        <v>403</v>
      </c>
      <c r="F144" s="39"/>
      <c r="G144" s="39"/>
      <c r="H144" s="10"/>
      <c r="I144" s="36" t="s">
        <v>166</v>
      </c>
      <c r="J144" s="38"/>
      <c r="K144" s="38" t="s">
        <v>393</v>
      </c>
      <c r="L144" s="40"/>
      <c r="M144" s="40" t="str">
        <f t="shared" si="5"/>
        <v/>
      </c>
      <c r="N144" s="38" t="str">
        <f ca="1">IF(M144="","",IF(M144="","",IF(OR(IFERROR(INDEX('Calibration Schedule'!J:J,MATCH(B144,'Calibration Schedule'!C:C,0)),"")="Sent for calibration",IFERROR(INDEX('Calibration Schedule'!J:J,MATCH(B144,'Calibration Schedule'!C:C,0)),"")="Scheduled for calibration"),IFERROR(INDEX('Calibration Schedule'!J:J,MATCH(B144,'Calibration Schedule'!C:C,0)),""),IF(M144&lt;TODAY(),"Expired",IF(M144&lt;=TODAY()+30,"Expiring Soon","Pass")))))</f>
        <v/>
      </c>
      <c r="O144" s="10"/>
      <c r="P144" s="38"/>
      <c r="Q144" s="38"/>
      <c r="R144" s="52"/>
    </row>
    <row r="145" spans="1:18">
      <c r="A145" s="38">
        <f t="shared" si="4"/>
        <v>142</v>
      </c>
      <c r="B145" s="41" t="s">
        <v>406</v>
      </c>
      <c r="C145" s="42" t="s">
        <v>407</v>
      </c>
      <c r="D145" s="42" t="s">
        <v>36</v>
      </c>
      <c r="E145" s="41"/>
      <c r="F145" s="41"/>
      <c r="G145" s="41"/>
      <c r="H145" s="43"/>
      <c r="I145" s="36" t="s">
        <v>166</v>
      </c>
      <c r="J145" s="42"/>
      <c r="K145" s="42" t="s">
        <v>393</v>
      </c>
      <c r="L145" s="44"/>
      <c r="M145" s="40" t="str">
        <f t="shared" si="5"/>
        <v/>
      </c>
      <c r="N145" s="38" t="str">
        <f ca="1">IF(M145="","",IF(M145="","",IF(OR(IFERROR(INDEX('Calibration Schedule'!J:J,MATCH(B145,'Calibration Schedule'!C:C,0)),"")="Sent for calibration",IFERROR(INDEX('Calibration Schedule'!J:J,MATCH(B145,'Calibration Schedule'!C:C,0)),"")="Scheduled for calibration"),IFERROR(INDEX('Calibration Schedule'!J:J,MATCH(B145,'Calibration Schedule'!C:C,0)),""),IF(M145&lt;TODAY(),"Expired",IF(M145&lt;=TODAY()+30,"Expiring Soon","Pass")))))</f>
        <v/>
      </c>
      <c r="O145" s="43"/>
      <c r="P145" s="42"/>
      <c r="Q145" s="42"/>
      <c r="R145" s="52"/>
    </row>
    <row r="146" spans="1:18">
      <c r="A146" s="38">
        <f t="shared" si="4"/>
        <v>143</v>
      </c>
      <c r="B146" s="39" t="s">
        <v>408</v>
      </c>
      <c r="C146" s="38" t="s">
        <v>197</v>
      </c>
      <c r="D146" s="38" t="s">
        <v>32</v>
      </c>
      <c r="E146" s="39" t="s">
        <v>409</v>
      </c>
      <c r="F146" s="39"/>
      <c r="G146" s="39"/>
      <c r="H146" s="10"/>
      <c r="I146" s="36" t="s">
        <v>166</v>
      </c>
      <c r="J146" s="38"/>
      <c r="K146" s="38" t="s">
        <v>393</v>
      </c>
      <c r="L146" s="40"/>
      <c r="M146" s="40" t="str">
        <f t="shared" si="5"/>
        <v/>
      </c>
      <c r="N146" s="38" t="str">
        <f ca="1">IF(M146="","",IF(M146="","",IF(OR(IFERROR(INDEX('Calibration Schedule'!J:J,MATCH(B146,'Calibration Schedule'!C:C,0)),"")="Sent for calibration",IFERROR(INDEX('Calibration Schedule'!J:J,MATCH(B146,'Calibration Schedule'!C:C,0)),"")="Scheduled for calibration"),IFERROR(INDEX('Calibration Schedule'!J:J,MATCH(B146,'Calibration Schedule'!C:C,0)),""),IF(M146&lt;TODAY(),"Expired",IF(M146&lt;=TODAY()+30,"Expiring Soon","Pass")))))</f>
        <v/>
      </c>
      <c r="O146" s="10"/>
      <c r="P146" s="38"/>
      <c r="Q146" s="38"/>
      <c r="R146" s="52"/>
    </row>
    <row r="147" spans="1:18">
      <c r="A147" s="38">
        <f t="shared" si="4"/>
        <v>144</v>
      </c>
      <c r="B147" s="41" t="s">
        <v>410</v>
      </c>
      <c r="C147" s="42" t="s">
        <v>411</v>
      </c>
      <c r="D147" s="42" t="s">
        <v>483</v>
      </c>
      <c r="E147" s="41" t="s">
        <v>412</v>
      </c>
      <c r="F147" s="41"/>
      <c r="G147" s="41"/>
      <c r="H147" s="43"/>
      <c r="I147" s="36" t="s">
        <v>390</v>
      </c>
      <c r="J147" s="42"/>
      <c r="K147" s="42" t="s">
        <v>393</v>
      </c>
      <c r="L147" s="44"/>
      <c r="M147" s="40" t="str">
        <f t="shared" si="5"/>
        <v/>
      </c>
      <c r="N147" s="38" t="str">
        <f ca="1">IF(M147="","",IF(M147="","",IF(OR(IFERROR(INDEX('Calibration Schedule'!J:J,MATCH(B147,'Calibration Schedule'!C:C,0)),"")="Sent for calibration",IFERROR(INDEX('Calibration Schedule'!J:J,MATCH(B147,'Calibration Schedule'!C:C,0)),"")="Scheduled for calibration"),IFERROR(INDEX('Calibration Schedule'!J:J,MATCH(B147,'Calibration Schedule'!C:C,0)),""),IF(M147&lt;TODAY(),"Expired",IF(M147&lt;=TODAY()+30,"Expiring Soon","Pass")))))</f>
        <v/>
      </c>
      <c r="O147" s="43"/>
      <c r="P147" s="42"/>
      <c r="Q147" s="42"/>
      <c r="R147" s="52"/>
    </row>
    <row r="148" spans="1:18">
      <c r="A148" s="38">
        <f t="shared" si="4"/>
        <v>145</v>
      </c>
      <c r="B148" s="39" t="s">
        <v>413</v>
      </c>
      <c r="C148" s="38" t="s">
        <v>227</v>
      </c>
      <c r="D148" s="38" t="s">
        <v>36</v>
      </c>
      <c r="E148" s="39"/>
      <c r="F148" s="39"/>
      <c r="G148" s="39"/>
      <c r="H148" s="10"/>
      <c r="I148" s="36" t="s">
        <v>390</v>
      </c>
      <c r="J148" s="38"/>
      <c r="K148" s="38" t="s">
        <v>393</v>
      </c>
      <c r="L148" s="40"/>
      <c r="M148" s="40" t="str">
        <f t="shared" si="5"/>
        <v/>
      </c>
      <c r="N148" s="38" t="str">
        <f ca="1">IF(M148="","",IF(M148="","",IF(OR(IFERROR(INDEX('Calibration Schedule'!J:J,MATCH(B148,'Calibration Schedule'!C:C,0)),"")="Sent for calibration",IFERROR(INDEX('Calibration Schedule'!J:J,MATCH(B148,'Calibration Schedule'!C:C,0)),"")="Scheduled for calibration"),IFERROR(INDEX('Calibration Schedule'!J:J,MATCH(B148,'Calibration Schedule'!C:C,0)),""),IF(M148&lt;TODAY(),"Expired",IF(M148&lt;=TODAY()+30,"Expiring Soon","Pass")))))</f>
        <v/>
      </c>
      <c r="O148" s="10"/>
      <c r="P148" s="38"/>
      <c r="Q148" s="38"/>
      <c r="R148" s="52"/>
    </row>
    <row r="149" spans="1:18">
      <c r="A149" s="38">
        <f t="shared" si="4"/>
        <v>146</v>
      </c>
      <c r="B149" s="41" t="s">
        <v>414</v>
      </c>
      <c r="C149" s="42" t="s">
        <v>415</v>
      </c>
      <c r="D149" s="42" t="s">
        <v>483</v>
      </c>
      <c r="E149" s="41"/>
      <c r="F149" s="41"/>
      <c r="G149" s="41"/>
      <c r="H149" s="43"/>
      <c r="I149" s="36" t="s">
        <v>390</v>
      </c>
      <c r="J149" s="42"/>
      <c r="K149" s="42" t="s">
        <v>393</v>
      </c>
      <c r="L149" s="44"/>
      <c r="M149" s="40" t="str">
        <f t="shared" si="5"/>
        <v/>
      </c>
      <c r="N149" s="38" t="str">
        <f ca="1">IF(M149="","",IF(M149="","",IF(OR(IFERROR(INDEX('Calibration Schedule'!J:J,MATCH(B149,'Calibration Schedule'!C:C,0)),"")="Sent for calibration",IFERROR(INDEX('Calibration Schedule'!J:J,MATCH(B149,'Calibration Schedule'!C:C,0)),"")="Scheduled for calibration"),IFERROR(INDEX('Calibration Schedule'!J:J,MATCH(B149,'Calibration Schedule'!C:C,0)),""),IF(M149&lt;TODAY(),"Expired",IF(M149&lt;=TODAY()+30,"Expiring Soon","Pass")))))</f>
        <v/>
      </c>
      <c r="O149" s="43"/>
      <c r="P149" s="42"/>
      <c r="Q149" s="42" t="s">
        <v>199</v>
      </c>
      <c r="R149" s="52"/>
    </row>
    <row r="150" spans="1:18">
      <c r="A150" s="38">
        <f t="shared" si="4"/>
        <v>147</v>
      </c>
      <c r="B150" s="39" t="s">
        <v>416</v>
      </c>
      <c r="C150" s="38" t="s">
        <v>417</v>
      </c>
      <c r="D150" s="38" t="s">
        <v>483</v>
      </c>
      <c r="E150" s="39"/>
      <c r="F150" s="39"/>
      <c r="G150" s="39"/>
      <c r="H150" s="10"/>
      <c r="I150" s="36" t="s">
        <v>390</v>
      </c>
      <c r="J150" s="38"/>
      <c r="K150" s="38" t="s">
        <v>393</v>
      </c>
      <c r="L150" s="40"/>
      <c r="M150" s="40" t="str">
        <f t="shared" si="5"/>
        <v/>
      </c>
      <c r="N150" s="38" t="str">
        <f ca="1">IF(M150="","",IF(M150="","",IF(OR(IFERROR(INDEX('Calibration Schedule'!J:J,MATCH(B150,'Calibration Schedule'!C:C,0)),"")="Sent for calibration",IFERROR(INDEX('Calibration Schedule'!J:J,MATCH(B150,'Calibration Schedule'!C:C,0)),"")="Scheduled for calibration"),IFERROR(INDEX('Calibration Schedule'!J:J,MATCH(B150,'Calibration Schedule'!C:C,0)),""),IF(M150&lt;TODAY(),"Expired",IF(M150&lt;=TODAY()+30,"Expiring Soon","Pass")))))</f>
        <v/>
      </c>
      <c r="O150" s="10"/>
      <c r="P150" s="38"/>
      <c r="Q150" s="38"/>
      <c r="R150" s="52"/>
    </row>
    <row r="151" spans="1:18">
      <c r="A151" s="38">
        <f t="shared" si="4"/>
        <v>148</v>
      </c>
      <c r="B151" s="41" t="s">
        <v>418</v>
      </c>
      <c r="C151" s="42" t="s">
        <v>419</v>
      </c>
      <c r="D151" s="42" t="s">
        <v>483</v>
      </c>
      <c r="E151" s="41" t="s">
        <v>420</v>
      </c>
      <c r="F151" s="41"/>
      <c r="G151" s="41"/>
      <c r="H151" s="43"/>
      <c r="I151" s="36" t="s">
        <v>390</v>
      </c>
      <c r="J151" s="42"/>
      <c r="K151" s="42" t="s">
        <v>393</v>
      </c>
      <c r="L151" s="44"/>
      <c r="M151" s="40" t="str">
        <f t="shared" si="5"/>
        <v/>
      </c>
      <c r="N151" s="38" t="str">
        <f ca="1">IF(M151="","",IF(M151="","",IF(OR(IFERROR(INDEX('Calibration Schedule'!J:J,MATCH(B151,'Calibration Schedule'!C:C,0)),"")="Sent for calibration",IFERROR(INDEX('Calibration Schedule'!J:J,MATCH(B151,'Calibration Schedule'!C:C,0)),"")="Scheduled for calibration"),IFERROR(INDEX('Calibration Schedule'!J:J,MATCH(B151,'Calibration Schedule'!C:C,0)),""),IF(M151&lt;TODAY(),"Expired",IF(M151&lt;=TODAY()+30,"Expiring Soon","Pass")))))</f>
        <v/>
      </c>
      <c r="O151" s="43"/>
      <c r="P151" s="42"/>
      <c r="Q151" s="42"/>
      <c r="R151" s="52"/>
    </row>
    <row r="152" spans="1:18">
      <c r="A152" s="38">
        <f t="shared" si="4"/>
        <v>149</v>
      </c>
      <c r="B152" s="39" t="s">
        <v>421</v>
      </c>
      <c r="C152" s="38" t="s">
        <v>422</v>
      </c>
      <c r="D152" s="38" t="s">
        <v>36</v>
      </c>
      <c r="E152" s="39" t="s">
        <v>423</v>
      </c>
      <c r="F152" s="39"/>
      <c r="G152" s="39"/>
      <c r="H152" s="10"/>
      <c r="I152" s="36" t="s">
        <v>390</v>
      </c>
      <c r="J152" s="38"/>
      <c r="K152" s="38" t="s">
        <v>393</v>
      </c>
      <c r="L152" s="40"/>
      <c r="M152" s="40" t="str">
        <f t="shared" si="5"/>
        <v/>
      </c>
      <c r="N152" s="38" t="str">
        <f ca="1">IF(M152="","",IF(M152="","",IF(OR(IFERROR(INDEX('Calibration Schedule'!J:J,MATCH(B152,'Calibration Schedule'!C:C,0)),"")="Sent for calibration",IFERROR(INDEX('Calibration Schedule'!J:J,MATCH(B152,'Calibration Schedule'!C:C,0)),"")="Scheduled for calibration"),IFERROR(INDEX('Calibration Schedule'!J:J,MATCH(B152,'Calibration Schedule'!C:C,0)),""),IF(M152&lt;TODAY(),"Expired",IF(M152&lt;=TODAY()+30,"Expiring Soon","Pass")))))</f>
        <v/>
      </c>
      <c r="O152" s="10"/>
      <c r="P152" s="38"/>
      <c r="Q152" s="38"/>
      <c r="R152" s="52"/>
    </row>
    <row r="153" spans="1:18">
      <c r="A153" s="38">
        <f t="shared" si="4"/>
        <v>150</v>
      </c>
      <c r="B153" s="41" t="s">
        <v>424</v>
      </c>
      <c r="C153" s="42" t="s">
        <v>425</v>
      </c>
      <c r="D153" s="42" t="s">
        <v>36</v>
      </c>
      <c r="E153" s="41" t="s">
        <v>397</v>
      </c>
      <c r="F153" s="41"/>
      <c r="G153" s="41"/>
      <c r="H153" s="43"/>
      <c r="I153" s="36" t="s">
        <v>390</v>
      </c>
      <c r="J153" s="42"/>
      <c r="K153" s="42" t="s">
        <v>393</v>
      </c>
      <c r="L153" s="44"/>
      <c r="M153" s="40" t="str">
        <f t="shared" si="5"/>
        <v/>
      </c>
      <c r="N153" s="38" t="str">
        <f ca="1">IF(M153="","",IF(M153="","",IF(OR(IFERROR(INDEX('Calibration Schedule'!J:J,MATCH(B153,'Calibration Schedule'!C:C,0)),"")="Sent for calibration",IFERROR(INDEX('Calibration Schedule'!J:J,MATCH(B153,'Calibration Schedule'!C:C,0)),"")="Scheduled for calibration"),IFERROR(INDEX('Calibration Schedule'!J:J,MATCH(B153,'Calibration Schedule'!C:C,0)),""),IF(M153&lt;TODAY(),"Expired",IF(M153&lt;=TODAY()+30,"Expiring Soon","Pass")))))</f>
        <v/>
      </c>
      <c r="O153" s="43"/>
      <c r="P153" s="42"/>
      <c r="Q153" s="42"/>
      <c r="R153" s="52"/>
    </row>
    <row r="154" spans="1:18">
      <c r="A154" s="38">
        <f t="shared" si="4"/>
        <v>151</v>
      </c>
      <c r="B154" s="39" t="s">
        <v>426</v>
      </c>
      <c r="C154" s="38" t="s">
        <v>427</v>
      </c>
      <c r="D154" s="38" t="s">
        <v>36</v>
      </c>
      <c r="E154" s="39" t="s">
        <v>428</v>
      </c>
      <c r="F154" s="39"/>
      <c r="G154" s="39"/>
      <c r="H154" s="10"/>
      <c r="I154" s="36" t="s">
        <v>390</v>
      </c>
      <c r="J154" s="38"/>
      <c r="K154" s="38" t="s">
        <v>393</v>
      </c>
      <c r="L154" s="40"/>
      <c r="M154" s="40" t="str">
        <f t="shared" si="5"/>
        <v/>
      </c>
      <c r="N154" s="38" t="str">
        <f ca="1">IF(M154="","",IF(M154="","",IF(OR(IFERROR(INDEX('Calibration Schedule'!J:J,MATCH(B154,'Calibration Schedule'!C:C,0)),"")="Sent for calibration",IFERROR(INDEX('Calibration Schedule'!J:J,MATCH(B154,'Calibration Schedule'!C:C,0)),"")="Scheduled for calibration"),IFERROR(INDEX('Calibration Schedule'!J:J,MATCH(B154,'Calibration Schedule'!C:C,0)),""),IF(M154&lt;TODAY(),"Expired",IF(M154&lt;=TODAY()+30,"Expiring Soon","Pass")))))</f>
        <v/>
      </c>
      <c r="O154" s="10"/>
      <c r="P154" s="38"/>
      <c r="Q154" s="38"/>
      <c r="R154" s="52"/>
    </row>
    <row r="155" spans="1:18">
      <c r="A155" s="38">
        <f t="shared" si="4"/>
        <v>152</v>
      </c>
      <c r="B155" s="41" t="s">
        <v>379</v>
      </c>
      <c r="C155" s="42" t="s">
        <v>227</v>
      </c>
      <c r="D155" s="42" t="s">
        <v>36</v>
      </c>
      <c r="E155" s="41"/>
      <c r="F155" s="41"/>
      <c r="G155" s="41"/>
      <c r="H155" s="43"/>
      <c r="I155" s="36" t="s">
        <v>390</v>
      </c>
      <c r="J155" s="42"/>
      <c r="K155" s="42" t="s">
        <v>393</v>
      </c>
      <c r="L155" s="44"/>
      <c r="M155" s="40" t="str">
        <f t="shared" si="5"/>
        <v/>
      </c>
      <c r="N155" s="38" t="str">
        <f ca="1">IF(M155="","",IF(M155="","",IF(OR(IFERROR(INDEX('Calibration Schedule'!J:J,MATCH(B155,'Calibration Schedule'!C:C,0)),"")="Sent for calibration",IFERROR(INDEX('Calibration Schedule'!J:J,MATCH(B155,'Calibration Schedule'!C:C,0)),"")="Scheduled for calibration"),IFERROR(INDEX('Calibration Schedule'!J:J,MATCH(B155,'Calibration Schedule'!C:C,0)),""),IF(M155&lt;TODAY(),"Expired",IF(M155&lt;=TODAY()+30,"Expiring Soon","Pass")))))</f>
        <v/>
      </c>
      <c r="O155" s="43"/>
      <c r="P155" s="42"/>
      <c r="Q155" s="42"/>
      <c r="R155" s="52"/>
    </row>
    <row r="156" spans="1:18">
      <c r="A156" s="38">
        <f t="shared" si="4"/>
        <v>153</v>
      </c>
      <c r="B156" s="39" t="s">
        <v>429</v>
      </c>
      <c r="C156" s="38" t="s">
        <v>430</v>
      </c>
      <c r="D156" s="38" t="s">
        <v>483</v>
      </c>
      <c r="E156" s="39"/>
      <c r="F156" s="39"/>
      <c r="G156" s="39"/>
      <c r="H156" s="10"/>
      <c r="I156" s="36" t="s">
        <v>390</v>
      </c>
      <c r="J156" s="38"/>
      <c r="K156" s="38" t="s">
        <v>393</v>
      </c>
      <c r="L156" s="40"/>
      <c r="M156" s="40" t="str">
        <f t="shared" si="5"/>
        <v/>
      </c>
      <c r="N156" s="38" t="str">
        <f ca="1">IF(M156="","",IF(M156="","",IF(OR(IFERROR(INDEX('Calibration Schedule'!J:J,MATCH(B156,'Calibration Schedule'!C:C,0)),"")="Sent for calibration",IFERROR(INDEX('Calibration Schedule'!J:J,MATCH(B156,'Calibration Schedule'!C:C,0)),"")="Scheduled for calibration"),IFERROR(INDEX('Calibration Schedule'!J:J,MATCH(B156,'Calibration Schedule'!C:C,0)),""),IF(M156&lt;TODAY(),"Expired",IF(M156&lt;=TODAY()+30,"Expiring Soon","Pass")))))</f>
        <v/>
      </c>
      <c r="O156" s="10"/>
      <c r="P156" s="38"/>
      <c r="Q156" s="38"/>
      <c r="R156" s="52"/>
    </row>
    <row r="157" spans="1:18">
      <c r="A157" s="38">
        <f t="shared" si="4"/>
        <v>154</v>
      </c>
      <c r="B157" s="41" t="s">
        <v>431</v>
      </c>
      <c r="C157" s="42" t="s">
        <v>425</v>
      </c>
      <c r="D157" s="42" t="s">
        <v>36</v>
      </c>
      <c r="E157" s="41" t="s">
        <v>432</v>
      </c>
      <c r="F157" s="41"/>
      <c r="G157" s="41"/>
      <c r="H157" s="43"/>
      <c r="I157" s="36" t="s">
        <v>390</v>
      </c>
      <c r="J157" s="42"/>
      <c r="K157" s="42" t="s">
        <v>393</v>
      </c>
      <c r="L157" s="44"/>
      <c r="M157" s="40" t="str">
        <f t="shared" si="5"/>
        <v/>
      </c>
      <c r="N157" s="38" t="str">
        <f ca="1">IF(M157="","",IF(M157="","",IF(OR(IFERROR(INDEX('Calibration Schedule'!J:J,MATCH(B157,'Calibration Schedule'!C:C,0)),"")="Sent for calibration",IFERROR(INDEX('Calibration Schedule'!J:J,MATCH(B157,'Calibration Schedule'!C:C,0)),"")="Scheduled for calibration"),IFERROR(INDEX('Calibration Schedule'!J:J,MATCH(B157,'Calibration Schedule'!C:C,0)),""),IF(M157&lt;TODAY(),"Expired",IF(M157&lt;=TODAY()+30,"Expiring Soon","Pass")))))</f>
        <v/>
      </c>
      <c r="O157" s="43"/>
      <c r="P157" s="42"/>
      <c r="Q157" s="42"/>
      <c r="R157" s="52"/>
    </row>
    <row r="158" spans="1:18">
      <c r="A158" s="38">
        <f t="shared" si="4"/>
        <v>155</v>
      </c>
      <c r="B158" s="39" t="s">
        <v>379</v>
      </c>
      <c r="C158" s="38" t="s">
        <v>227</v>
      </c>
      <c r="D158" s="38" t="s">
        <v>36</v>
      </c>
      <c r="E158" s="39"/>
      <c r="F158" s="39"/>
      <c r="G158" s="39"/>
      <c r="H158" s="10"/>
      <c r="I158" s="36" t="s">
        <v>390</v>
      </c>
      <c r="J158" s="38"/>
      <c r="K158" s="38" t="s">
        <v>393</v>
      </c>
      <c r="L158" s="40"/>
      <c r="M158" s="40" t="str">
        <f t="shared" si="5"/>
        <v/>
      </c>
      <c r="N158" s="38" t="str">
        <f ca="1">IF(M158="","",IF(M158="","",IF(OR(IFERROR(INDEX('Calibration Schedule'!J:J,MATCH(B158,'Calibration Schedule'!C:C,0)),"")="Sent for calibration",IFERROR(INDEX('Calibration Schedule'!J:J,MATCH(B158,'Calibration Schedule'!C:C,0)),"")="Scheduled for calibration"),IFERROR(INDEX('Calibration Schedule'!J:J,MATCH(B158,'Calibration Schedule'!C:C,0)),""),IF(M158&lt;TODAY(),"Expired",IF(M158&lt;=TODAY()+30,"Expiring Soon","Pass")))))</f>
        <v/>
      </c>
      <c r="O158" s="10"/>
      <c r="P158" s="38"/>
      <c r="Q158" s="38"/>
      <c r="R158" s="52"/>
    </row>
    <row r="159" spans="1:18">
      <c r="A159" s="38">
        <f t="shared" si="4"/>
        <v>156</v>
      </c>
      <c r="B159" s="41" t="s">
        <v>426</v>
      </c>
      <c r="C159" s="42" t="s">
        <v>427</v>
      </c>
      <c r="D159" s="42" t="s">
        <v>36</v>
      </c>
      <c r="E159" s="41" t="s">
        <v>428</v>
      </c>
      <c r="F159" s="41"/>
      <c r="G159" s="41"/>
      <c r="H159" s="43"/>
      <c r="I159" s="36" t="s">
        <v>390</v>
      </c>
      <c r="J159" s="42"/>
      <c r="K159" s="42" t="s">
        <v>393</v>
      </c>
      <c r="L159" s="44"/>
      <c r="M159" s="40" t="str">
        <f t="shared" si="5"/>
        <v/>
      </c>
      <c r="N159" s="38" t="str">
        <f ca="1">IF(M159="","",IF(M159="","",IF(OR(IFERROR(INDEX('Calibration Schedule'!J:J,MATCH(B159,'Calibration Schedule'!C:C,0)),"")="Sent for calibration",IFERROR(INDEX('Calibration Schedule'!J:J,MATCH(B159,'Calibration Schedule'!C:C,0)),"")="Scheduled for calibration"),IFERROR(INDEX('Calibration Schedule'!J:J,MATCH(B159,'Calibration Schedule'!C:C,0)),""),IF(M159&lt;TODAY(),"Expired",IF(M159&lt;=TODAY()+30,"Expiring Soon","Pass")))))</f>
        <v/>
      </c>
      <c r="O159" s="43"/>
      <c r="P159" s="42"/>
      <c r="Q159" s="42"/>
      <c r="R159" s="52"/>
    </row>
    <row r="160" spans="1:18">
      <c r="A160" s="38">
        <f t="shared" si="4"/>
        <v>157</v>
      </c>
      <c r="B160" s="39" t="s">
        <v>433</v>
      </c>
      <c r="C160" s="38" t="s">
        <v>434</v>
      </c>
      <c r="D160" s="38" t="s">
        <v>36</v>
      </c>
      <c r="E160" s="39"/>
      <c r="F160" s="39"/>
      <c r="G160" s="39"/>
      <c r="H160" s="10"/>
      <c r="I160" s="36" t="s">
        <v>390</v>
      </c>
      <c r="J160" s="38"/>
      <c r="K160" s="38" t="s">
        <v>393</v>
      </c>
      <c r="L160" s="40"/>
      <c r="M160" s="40" t="str">
        <f t="shared" si="5"/>
        <v/>
      </c>
      <c r="N160" s="38" t="str">
        <f ca="1">IF(M160="","",IF(M160="","",IF(OR(IFERROR(INDEX('Calibration Schedule'!J:J,MATCH(B160,'Calibration Schedule'!C:C,0)),"")="Sent for calibration",IFERROR(INDEX('Calibration Schedule'!J:J,MATCH(B160,'Calibration Schedule'!C:C,0)),"")="Scheduled for calibration"),IFERROR(INDEX('Calibration Schedule'!J:J,MATCH(B160,'Calibration Schedule'!C:C,0)),""),IF(M160&lt;TODAY(),"Expired",IF(M160&lt;=TODAY()+30,"Expiring Soon","Pass")))))</f>
        <v/>
      </c>
      <c r="O160" s="10"/>
      <c r="P160" s="38"/>
      <c r="Q160" s="38"/>
      <c r="R160" s="52"/>
    </row>
    <row r="161" spans="1:18">
      <c r="A161" s="38">
        <f t="shared" si="4"/>
        <v>158</v>
      </c>
      <c r="B161" s="41" t="s">
        <v>435</v>
      </c>
      <c r="C161" s="42" t="s">
        <v>436</v>
      </c>
      <c r="D161" s="42" t="s">
        <v>483</v>
      </c>
      <c r="E161" s="41" t="s">
        <v>437</v>
      </c>
      <c r="F161" s="41"/>
      <c r="G161" s="41"/>
      <c r="H161" s="43"/>
      <c r="I161" s="36" t="s">
        <v>390</v>
      </c>
      <c r="J161" s="42"/>
      <c r="K161" s="42" t="s">
        <v>393</v>
      </c>
      <c r="L161" s="44"/>
      <c r="M161" s="40" t="str">
        <f t="shared" si="5"/>
        <v/>
      </c>
      <c r="N161" s="38" t="str">
        <f ca="1">IF(M161="","",IF(M161="","",IF(OR(IFERROR(INDEX('Calibration Schedule'!J:J,MATCH(B161,'Calibration Schedule'!C:C,0)),"")="Sent for calibration",IFERROR(INDEX('Calibration Schedule'!J:J,MATCH(B161,'Calibration Schedule'!C:C,0)),"")="Scheduled for calibration"),IFERROR(INDEX('Calibration Schedule'!J:J,MATCH(B161,'Calibration Schedule'!C:C,0)),""),IF(M161&lt;TODAY(),"Expired",IF(M161&lt;=TODAY()+30,"Expiring Soon","Pass")))))</f>
        <v/>
      </c>
      <c r="O161" s="43"/>
      <c r="P161" s="42"/>
      <c r="Q161" s="42"/>
      <c r="R161" s="52"/>
    </row>
    <row r="162" spans="1:18">
      <c r="A162" s="38">
        <f t="shared" si="4"/>
        <v>159</v>
      </c>
      <c r="B162" s="39" t="s">
        <v>438</v>
      </c>
      <c r="C162" s="38" t="s">
        <v>439</v>
      </c>
      <c r="D162" s="38" t="s">
        <v>36</v>
      </c>
      <c r="E162" s="39" t="s">
        <v>440</v>
      </c>
      <c r="F162" s="39"/>
      <c r="G162" s="39"/>
      <c r="H162" s="10"/>
      <c r="I162" s="36" t="s">
        <v>390</v>
      </c>
      <c r="J162" s="38"/>
      <c r="K162" s="38" t="s">
        <v>393</v>
      </c>
      <c r="L162" s="40"/>
      <c r="M162" s="40" t="str">
        <f t="shared" si="5"/>
        <v/>
      </c>
      <c r="N162" s="38" t="str">
        <f ca="1">IF(M162="","",IF(M162="","",IF(OR(IFERROR(INDEX('Calibration Schedule'!J:J,MATCH(B162,'Calibration Schedule'!C:C,0)),"")="Sent for calibration",IFERROR(INDEX('Calibration Schedule'!J:J,MATCH(B162,'Calibration Schedule'!C:C,0)),"")="Scheduled for calibration"),IFERROR(INDEX('Calibration Schedule'!J:J,MATCH(B162,'Calibration Schedule'!C:C,0)),""),IF(M162&lt;TODAY(),"Expired",IF(M162&lt;=TODAY()+30,"Expiring Soon","Pass")))))</f>
        <v/>
      </c>
      <c r="O162" s="10"/>
      <c r="P162" s="38"/>
      <c r="Q162" s="38"/>
      <c r="R162" s="52"/>
    </row>
    <row r="163" spans="1:18">
      <c r="A163" s="38">
        <f t="shared" si="4"/>
        <v>160</v>
      </c>
      <c r="B163" s="41" t="s">
        <v>441</v>
      </c>
      <c r="C163" s="42" t="s">
        <v>442</v>
      </c>
      <c r="D163" s="42" t="s">
        <v>483</v>
      </c>
      <c r="E163" s="41" t="s">
        <v>443</v>
      </c>
      <c r="F163" s="41"/>
      <c r="G163" s="41"/>
      <c r="H163" s="43"/>
      <c r="I163" s="36" t="s">
        <v>390</v>
      </c>
      <c r="J163" s="42"/>
      <c r="K163" s="42" t="s">
        <v>393</v>
      </c>
      <c r="L163" s="44"/>
      <c r="M163" s="40" t="str">
        <f t="shared" si="5"/>
        <v/>
      </c>
      <c r="N163" s="38" t="str">
        <f ca="1">IF(M163="","",IF(M163="","",IF(OR(IFERROR(INDEX('Calibration Schedule'!J:J,MATCH(B163,'Calibration Schedule'!C:C,0)),"")="Sent for calibration",IFERROR(INDEX('Calibration Schedule'!J:J,MATCH(B163,'Calibration Schedule'!C:C,0)),"")="Scheduled for calibration"),IFERROR(INDEX('Calibration Schedule'!J:J,MATCH(B163,'Calibration Schedule'!C:C,0)),""),IF(M163&lt;TODAY(),"Expired",IF(M163&lt;=TODAY()+30,"Expiring Soon","Pass")))))</f>
        <v/>
      </c>
      <c r="O163" s="43"/>
      <c r="P163" s="42"/>
      <c r="Q163" s="42"/>
      <c r="R163" s="52"/>
    </row>
    <row r="164" spans="1:18">
      <c r="A164" s="38">
        <f t="shared" si="4"/>
        <v>161</v>
      </c>
      <c r="B164" s="39" t="s">
        <v>444</v>
      </c>
      <c r="C164" s="38" t="s">
        <v>419</v>
      </c>
      <c r="D164" s="38" t="s">
        <v>483</v>
      </c>
      <c r="E164" s="39" t="s">
        <v>445</v>
      </c>
      <c r="F164" s="39"/>
      <c r="G164" s="39"/>
      <c r="H164" s="10"/>
      <c r="I164" s="36" t="s">
        <v>390</v>
      </c>
      <c r="J164" s="38"/>
      <c r="K164" s="38" t="s">
        <v>393</v>
      </c>
      <c r="L164" s="40"/>
      <c r="M164" s="40" t="str">
        <f t="shared" si="5"/>
        <v/>
      </c>
      <c r="N164" s="38" t="str">
        <f ca="1">IF(M164="","",IF(M164="","",IF(OR(IFERROR(INDEX('Calibration Schedule'!J:J,MATCH(B164,'Calibration Schedule'!C:C,0)),"")="Sent for calibration",IFERROR(INDEX('Calibration Schedule'!J:J,MATCH(B164,'Calibration Schedule'!C:C,0)),"")="Scheduled for calibration"),IFERROR(INDEX('Calibration Schedule'!J:J,MATCH(B164,'Calibration Schedule'!C:C,0)),""),IF(M164&lt;TODAY(),"Expired",IF(M164&lt;=TODAY()+30,"Expiring Soon","Pass")))))</f>
        <v/>
      </c>
      <c r="O164" s="10"/>
      <c r="P164" s="38"/>
      <c r="Q164" s="38"/>
      <c r="R164" s="52"/>
    </row>
    <row r="165" spans="1:18">
      <c r="A165" s="38">
        <f t="shared" si="4"/>
        <v>162</v>
      </c>
      <c r="B165" s="41" t="s">
        <v>446</v>
      </c>
      <c r="C165" s="42" t="s">
        <v>442</v>
      </c>
      <c r="D165" s="42" t="s">
        <v>483</v>
      </c>
      <c r="E165" s="41" t="s">
        <v>447</v>
      </c>
      <c r="F165" s="41"/>
      <c r="G165" s="41"/>
      <c r="H165" s="43"/>
      <c r="I165" s="36" t="s">
        <v>390</v>
      </c>
      <c r="J165" s="42"/>
      <c r="K165" s="42" t="s">
        <v>393</v>
      </c>
      <c r="L165" s="44"/>
      <c r="M165" s="40" t="str">
        <f t="shared" si="5"/>
        <v/>
      </c>
      <c r="N165" s="38" t="str">
        <f ca="1">IF(M165="","",IF(M165="","",IF(OR(IFERROR(INDEX('Calibration Schedule'!J:J,MATCH(B165,'Calibration Schedule'!C:C,0)),"")="Sent for calibration",IFERROR(INDEX('Calibration Schedule'!J:J,MATCH(B165,'Calibration Schedule'!C:C,0)),"")="Scheduled for calibration"),IFERROR(INDEX('Calibration Schedule'!J:J,MATCH(B165,'Calibration Schedule'!C:C,0)),""),IF(M165&lt;TODAY(),"Expired",IF(M165&lt;=TODAY()+30,"Expiring Soon","Pass")))))</f>
        <v/>
      </c>
      <c r="O165" s="43"/>
      <c r="P165" s="42"/>
      <c r="Q165" s="42"/>
      <c r="R165" s="52"/>
    </row>
    <row r="166" spans="1:18">
      <c r="A166" s="38">
        <f t="shared" si="4"/>
        <v>163</v>
      </c>
      <c r="B166" s="39" t="s">
        <v>448</v>
      </c>
      <c r="C166" s="38" t="s">
        <v>449</v>
      </c>
      <c r="D166" s="38" t="s">
        <v>36</v>
      </c>
      <c r="E166" s="39"/>
      <c r="F166" s="39"/>
      <c r="G166" s="39"/>
      <c r="H166" s="10"/>
      <c r="I166" s="36" t="s">
        <v>390</v>
      </c>
      <c r="J166" s="38"/>
      <c r="K166" s="38" t="s">
        <v>393</v>
      </c>
      <c r="L166" s="40"/>
      <c r="M166" s="40" t="str">
        <f t="shared" si="5"/>
        <v/>
      </c>
      <c r="N166" s="38" t="str">
        <f ca="1">IF(M166="","",IF(M166="","",IF(OR(IFERROR(INDEX('Calibration Schedule'!J:J,MATCH(B166,'Calibration Schedule'!C:C,0)),"")="Sent for calibration",IFERROR(INDEX('Calibration Schedule'!J:J,MATCH(B166,'Calibration Schedule'!C:C,0)),"")="Scheduled for calibration"),IFERROR(INDEX('Calibration Schedule'!J:J,MATCH(B166,'Calibration Schedule'!C:C,0)),""),IF(M166&lt;TODAY(),"Expired",IF(M166&lt;=TODAY()+30,"Expiring Soon","Pass")))))</f>
        <v/>
      </c>
      <c r="O166" s="10"/>
      <c r="P166" s="38"/>
      <c r="Q166" s="38"/>
      <c r="R166" s="52"/>
    </row>
    <row r="167" spans="1:18" ht="29">
      <c r="A167" s="38">
        <f t="shared" si="4"/>
        <v>164</v>
      </c>
      <c r="B167" s="41" t="s">
        <v>450</v>
      </c>
      <c r="C167" s="42" t="s">
        <v>451</v>
      </c>
      <c r="D167" s="42" t="s">
        <v>485</v>
      </c>
      <c r="E167" s="41"/>
      <c r="F167" s="41"/>
      <c r="G167" s="41"/>
      <c r="H167" s="43"/>
      <c r="I167" s="42" t="s">
        <v>478</v>
      </c>
      <c r="J167" s="42"/>
      <c r="K167" s="42" t="s">
        <v>393</v>
      </c>
      <c r="L167" s="44"/>
      <c r="M167" s="40" t="str">
        <f t="shared" si="5"/>
        <v/>
      </c>
      <c r="N167" s="38" t="str">
        <f ca="1">IF(M167="","",IF(M167="","",IF(OR(IFERROR(INDEX('Calibration Schedule'!J:J,MATCH(B167,'Calibration Schedule'!C:C,0)),"")="Sent for calibration",IFERROR(INDEX('Calibration Schedule'!J:J,MATCH(B167,'Calibration Schedule'!C:C,0)),"")="Scheduled for calibration"),IFERROR(INDEX('Calibration Schedule'!J:J,MATCH(B167,'Calibration Schedule'!C:C,0)),""),IF(M167&lt;TODAY(),"Expired",IF(M167&lt;=TODAY()+30,"Expiring Soon","Pass")))))</f>
        <v/>
      </c>
      <c r="O167" s="43"/>
      <c r="P167" s="42"/>
      <c r="Q167" s="42" t="s">
        <v>452</v>
      </c>
      <c r="R167" s="52"/>
    </row>
    <row r="168" spans="1:18">
      <c r="A168" s="38">
        <f t="shared" si="4"/>
        <v>165</v>
      </c>
      <c r="B168" s="39" t="s">
        <v>453</v>
      </c>
      <c r="C168" s="38" t="s">
        <v>454</v>
      </c>
      <c r="D168" s="38" t="s">
        <v>36</v>
      </c>
      <c r="E168" s="39"/>
      <c r="F168" s="39"/>
      <c r="G168" s="39"/>
      <c r="H168" s="10"/>
      <c r="I168" s="34" t="s">
        <v>142</v>
      </c>
      <c r="J168" s="38"/>
      <c r="K168" s="38" t="s">
        <v>393</v>
      </c>
      <c r="L168" s="40"/>
      <c r="M168" s="40" t="str">
        <f t="shared" si="5"/>
        <v/>
      </c>
      <c r="N168" s="38" t="str">
        <f ca="1">IF(M168="","",IF(M168="","",IF(OR(IFERROR(INDEX('Calibration Schedule'!J:J,MATCH(B168,'Calibration Schedule'!C:C,0)),"")="Sent for calibration",IFERROR(INDEX('Calibration Schedule'!J:J,MATCH(B168,'Calibration Schedule'!C:C,0)),"")="Scheduled for calibration"),IFERROR(INDEX('Calibration Schedule'!J:J,MATCH(B168,'Calibration Schedule'!C:C,0)),""),IF(M168&lt;TODAY(),"Expired",IF(M168&lt;=TODAY()+30,"Expiring Soon","Pass")))))</f>
        <v/>
      </c>
      <c r="O168" s="10"/>
      <c r="P168" s="38"/>
      <c r="Q168" s="38"/>
      <c r="R168" s="52"/>
    </row>
    <row r="169" spans="1:18">
      <c r="A169" s="38">
        <f t="shared" si="4"/>
        <v>166</v>
      </c>
      <c r="B169" s="41" t="s">
        <v>456</v>
      </c>
      <c r="C169" s="42" t="s">
        <v>457</v>
      </c>
      <c r="D169" s="42" t="s">
        <v>36</v>
      </c>
      <c r="E169" s="41"/>
      <c r="F169" s="41"/>
      <c r="G169" s="41"/>
      <c r="H169" s="43"/>
      <c r="I169" s="34" t="s">
        <v>142</v>
      </c>
      <c r="J169" s="42"/>
      <c r="K169" s="42" t="s">
        <v>393</v>
      </c>
      <c r="L169" s="44"/>
      <c r="M169" s="40" t="str">
        <f t="shared" si="5"/>
        <v/>
      </c>
      <c r="N169" s="38" t="str">
        <f ca="1">IF(M169="","",IF(M169="","",IF(OR(IFERROR(INDEX('Calibration Schedule'!J:J,MATCH(B169,'Calibration Schedule'!C:C,0)),"")="Sent for calibration",IFERROR(INDEX('Calibration Schedule'!J:J,MATCH(B169,'Calibration Schedule'!C:C,0)),"")="Scheduled for calibration"),IFERROR(INDEX('Calibration Schedule'!J:J,MATCH(B169,'Calibration Schedule'!C:C,0)),""),IF(M169&lt;TODAY(),"Expired",IF(M169&lt;=TODAY()+30,"Expiring Soon","Pass")))))</f>
        <v/>
      </c>
      <c r="O169" s="43"/>
      <c r="P169" s="42"/>
      <c r="Q169" s="76" t="s">
        <v>199</v>
      </c>
      <c r="R169" s="52"/>
    </row>
    <row r="170" spans="1:18">
      <c r="A170" s="38">
        <f t="shared" si="4"/>
        <v>167</v>
      </c>
      <c r="B170" s="39" t="s">
        <v>458</v>
      </c>
      <c r="C170" s="38" t="s">
        <v>459</v>
      </c>
      <c r="D170" s="38" t="s">
        <v>36</v>
      </c>
      <c r="E170" s="39"/>
      <c r="F170" s="39"/>
      <c r="G170" s="39"/>
      <c r="H170" s="10"/>
      <c r="I170" s="34" t="s">
        <v>142</v>
      </c>
      <c r="J170" s="38"/>
      <c r="K170" s="38" t="s">
        <v>393</v>
      </c>
      <c r="L170" s="40"/>
      <c r="M170" s="40" t="str">
        <f t="shared" si="5"/>
        <v/>
      </c>
      <c r="N170" s="38" t="str">
        <f ca="1">IF(M170="","",IF(M170="","",IF(OR(IFERROR(INDEX('Calibration Schedule'!J:J,MATCH(B170,'Calibration Schedule'!C:C,0)),"")="Sent for calibration",IFERROR(INDEX('Calibration Schedule'!J:J,MATCH(B170,'Calibration Schedule'!C:C,0)),"")="Scheduled for calibration"),IFERROR(INDEX('Calibration Schedule'!J:J,MATCH(B170,'Calibration Schedule'!C:C,0)),""),IF(M170&lt;TODAY(),"Expired",IF(M170&lt;=TODAY()+30,"Expiring Soon","Pass")))))</f>
        <v/>
      </c>
      <c r="O170" s="10"/>
      <c r="P170" s="38"/>
      <c r="Q170" s="76"/>
      <c r="R170" s="52"/>
    </row>
    <row r="171" spans="1:18">
      <c r="A171" s="38">
        <f t="shared" si="4"/>
        <v>168</v>
      </c>
      <c r="B171" s="41" t="s">
        <v>460</v>
      </c>
      <c r="C171" s="42" t="s">
        <v>461</v>
      </c>
      <c r="D171" s="42" t="s">
        <v>36</v>
      </c>
      <c r="E171" s="41"/>
      <c r="F171" s="41"/>
      <c r="G171" s="41"/>
      <c r="H171" s="43"/>
      <c r="I171" s="34" t="s">
        <v>142</v>
      </c>
      <c r="J171" s="42"/>
      <c r="K171" s="42" t="s">
        <v>393</v>
      </c>
      <c r="L171" s="44"/>
      <c r="M171" s="40" t="str">
        <f t="shared" si="5"/>
        <v/>
      </c>
      <c r="N171" s="38" t="str">
        <f ca="1">IF(M171="","",IF(M171="","",IF(OR(IFERROR(INDEX('Calibration Schedule'!J:J,MATCH(B171,'Calibration Schedule'!C:C,0)),"")="Sent for calibration",IFERROR(INDEX('Calibration Schedule'!J:J,MATCH(B171,'Calibration Schedule'!C:C,0)),"")="Scheduled for calibration"),IFERROR(INDEX('Calibration Schedule'!J:J,MATCH(B171,'Calibration Schedule'!C:C,0)),""),IF(M171&lt;TODAY(),"Expired",IF(M171&lt;=TODAY()+30,"Expiring Soon","Pass")))))</f>
        <v/>
      </c>
      <c r="O171" s="43"/>
      <c r="P171" s="42"/>
      <c r="Q171" s="76"/>
      <c r="R171" s="52"/>
    </row>
    <row r="172" spans="1:18">
      <c r="A172" s="38">
        <f t="shared" si="4"/>
        <v>169</v>
      </c>
      <c r="B172" s="39" t="s">
        <v>455</v>
      </c>
      <c r="C172" s="38" t="s">
        <v>462</v>
      </c>
      <c r="D172" s="38" t="s">
        <v>36</v>
      </c>
      <c r="E172" s="39"/>
      <c r="F172" s="39"/>
      <c r="G172" s="39"/>
      <c r="H172" s="10"/>
      <c r="I172" s="34" t="s">
        <v>142</v>
      </c>
      <c r="J172" s="38"/>
      <c r="K172" s="38" t="s">
        <v>393</v>
      </c>
      <c r="L172" s="40"/>
      <c r="M172" s="40" t="str">
        <f t="shared" si="5"/>
        <v/>
      </c>
      <c r="N172" s="38" t="str">
        <f ca="1">IF(M172="","",IF(M172="","",IF(OR(IFERROR(INDEX('Calibration Schedule'!J:J,MATCH(B172,'Calibration Schedule'!C:C,0)),"")="Sent for calibration",IFERROR(INDEX('Calibration Schedule'!J:J,MATCH(B172,'Calibration Schedule'!C:C,0)),"")="Scheduled for calibration"),IFERROR(INDEX('Calibration Schedule'!J:J,MATCH(B172,'Calibration Schedule'!C:C,0)),""),IF(M172&lt;TODAY(),"Expired",IF(M172&lt;=TODAY()+30,"Expiring Soon","Pass")))))</f>
        <v/>
      </c>
      <c r="O172" s="10"/>
      <c r="P172" s="38"/>
      <c r="Q172" s="76"/>
      <c r="R172" s="52"/>
    </row>
    <row r="173" spans="1:18">
      <c r="A173" s="38">
        <f t="shared" si="4"/>
        <v>170</v>
      </c>
      <c r="B173" s="41" t="s">
        <v>463</v>
      </c>
      <c r="C173" s="42" t="s">
        <v>464</v>
      </c>
      <c r="D173" s="42" t="s">
        <v>36</v>
      </c>
      <c r="E173" s="41"/>
      <c r="F173" s="41"/>
      <c r="G173" s="41"/>
      <c r="H173" s="43"/>
      <c r="I173" s="34" t="s">
        <v>142</v>
      </c>
      <c r="J173" s="42"/>
      <c r="K173" s="42" t="s">
        <v>393</v>
      </c>
      <c r="L173" s="44"/>
      <c r="M173" s="40" t="str">
        <f t="shared" si="5"/>
        <v/>
      </c>
      <c r="N173" s="38" t="str">
        <f ca="1">IF(M173="","",IF(M173="","",IF(OR(IFERROR(INDEX('Calibration Schedule'!J:J,MATCH(B173,'Calibration Schedule'!C:C,0)),"")="Sent for calibration",IFERROR(INDEX('Calibration Schedule'!J:J,MATCH(B173,'Calibration Schedule'!C:C,0)),"")="Scheduled for calibration"),IFERROR(INDEX('Calibration Schedule'!J:J,MATCH(B173,'Calibration Schedule'!C:C,0)),""),IF(M173&lt;TODAY(),"Expired",IF(M173&lt;=TODAY()+30,"Expiring Soon","Pass")))))</f>
        <v/>
      </c>
      <c r="O173" s="43"/>
      <c r="P173" s="42"/>
      <c r="Q173" s="76"/>
      <c r="R173" s="52"/>
    </row>
    <row r="174" spans="1:18">
      <c r="A174" s="38">
        <f t="shared" si="4"/>
        <v>171</v>
      </c>
      <c r="B174" s="39" t="s">
        <v>465</v>
      </c>
      <c r="C174" s="38" t="s">
        <v>466</v>
      </c>
      <c r="D174" s="38" t="s">
        <v>36</v>
      </c>
      <c r="E174" s="39"/>
      <c r="F174" s="39"/>
      <c r="G174" s="39"/>
      <c r="H174" s="10"/>
      <c r="I174" s="34" t="s">
        <v>142</v>
      </c>
      <c r="J174" s="38"/>
      <c r="K174" s="38" t="s">
        <v>393</v>
      </c>
      <c r="L174" s="40"/>
      <c r="M174" s="40" t="str">
        <f t="shared" si="5"/>
        <v/>
      </c>
      <c r="N174" s="38" t="str">
        <f ca="1">IF(M174="","",IF(M174="","",IF(OR(IFERROR(INDEX('Calibration Schedule'!J:J,MATCH(B174,'Calibration Schedule'!C:C,0)),"")="Sent for calibration",IFERROR(INDEX('Calibration Schedule'!J:J,MATCH(B174,'Calibration Schedule'!C:C,0)),"")="Scheduled for calibration"),IFERROR(INDEX('Calibration Schedule'!J:J,MATCH(B174,'Calibration Schedule'!C:C,0)),""),IF(M174&lt;TODAY(),"Expired",IF(M174&lt;=TODAY()+30,"Expiring Soon","Pass")))))</f>
        <v/>
      </c>
      <c r="O174" s="10"/>
      <c r="P174" s="38"/>
      <c r="Q174" s="76"/>
      <c r="R174" s="52"/>
    </row>
    <row r="175" spans="1:18">
      <c r="A175" s="38">
        <f t="shared" si="4"/>
        <v>172</v>
      </c>
      <c r="B175" s="41" t="s">
        <v>467</v>
      </c>
      <c r="C175" s="42" t="s">
        <v>468</v>
      </c>
      <c r="D175" s="42" t="s">
        <v>32</v>
      </c>
      <c r="E175" s="41" t="s">
        <v>469</v>
      </c>
      <c r="F175" s="41"/>
      <c r="G175" s="41"/>
      <c r="H175" s="43"/>
      <c r="I175" s="34" t="s">
        <v>142</v>
      </c>
      <c r="J175" s="42"/>
      <c r="K175" s="42"/>
      <c r="L175" s="44"/>
      <c r="M175" s="40">
        <f t="shared" si="5"/>
        <v>0</v>
      </c>
      <c r="N175" s="38" t="str">
        <f ca="1">IF(M175="","",IF(M175="","",IF(OR(IFERROR(INDEX('Calibration Schedule'!J:J,MATCH(B175,'Calibration Schedule'!C:C,0)),"")="Sent for calibration",IFERROR(INDEX('Calibration Schedule'!J:J,MATCH(B175,'Calibration Schedule'!C:C,0)),"")="Scheduled for calibration"),IFERROR(INDEX('Calibration Schedule'!J:J,MATCH(B175,'Calibration Schedule'!C:C,0)),""),IF(M175&lt;TODAY(),"Expired",IF(M175&lt;=TODAY()+30,"Expiring Soon","Pass")))))</f>
        <v>Expired</v>
      </c>
      <c r="O175" s="43"/>
      <c r="P175" s="42"/>
      <c r="Q175" s="42"/>
      <c r="R175" s="52"/>
    </row>
    <row r="176" spans="1:18">
      <c r="A176" s="38">
        <f t="shared" si="4"/>
        <v>173</v>
      </c>
      <c r="B176" s="39" t="s">
        <v>470</v>
      </c>
      <c r="C176" s="38" t="s">
        <v>471</v>
      </c>
      <c r="D176" s="38" t="s">
        <v>485</v>
      </c>
      <c r="E176" s="39" t="s">
        <v>472</v>
      </c>
      <c r="F176" s="39"/>
      <c r="G176" s="39"/>
      <c r="H176" s="10"/>
      <c r="I176" s="34" t="s">
        <v>142</v>
      </c>
      <c r="J176" s="38"/>
      <c r="K176" s="38" t="s">
        <v>393</v>
      </c>
      <c r="L176" s="40"/>
      <c r="M176" s="40" t="str">
        <f t="shared" si="5"/>
        <v/>
      </c>
      <c r="N176" s="38" t="str">
        <f ca="1">IF(M176="","",IF(M176="","",IF(OR(IFERROR(INDEX('Calibration Schedule'!J:J,MATCH(B176,'Calibration Schedule'!C:C,0)),"")="Sent for calibration",IFERROR(INDEX('Calibration Schedule'!J:J,MATCH(B176,'Calibration Schedule'!C:C,0)),"")="Scheduled for calibration"),IFERROR(INDEX('Calibration Schedule'!J:J,MATCH(B176,'Calibration Schedule'!C:C,0)),""),IF(M176&lt;TODAY(),"Expired",IF(M176&lt;=TODAY()+30,"Expiring Soon","Pass")))))</f>
        <v/>
      </c>
      <c r="O176" s="10"/>
      <c r="P176" s="38"/>
      <c r="Q176" s="38"/>
      <c r="R176" s="52"/>
    </row>
    <row r="177" spans="1:18" ht="27.75" customHeight="1">
      <c r="A177" s="38">
        <f t="shared" si="4"/>
        <v>174</v>
      </c>
      <c r="B177" s="41" t="s">
        <v>473</v>
      </c>
      <c r="C177" s="42" t="s">
        <v>474</v>
      </c>
      <c r="D177" s="42" t="s">
        <v>483</v>
      </c>
      <c r="E177" s="41"/>
      <c r="F177" s="41"/>
      <c r="G177" s="41"/>
      <c r="H177" s="43"/>
      <c r="I177" s="42" t="s">
        <v>137</v>
      </c>
      <c r="J177" s="42"/>
      <c r="K177" s="42" t="s">
        <v>393</v>
      </c>
      <c r="L177" s="44"/>
      <c r="M177" s="40" t="str">
        <f t="shared" si="5"/>
        <v/>
      </c>
      <c r="N177" s="38" t="str">
        <f ca="1">IF(M177="","",IF(M177="","",IF(OR(IFERROR(INDEX('Calibration Schedule'!J:J,MATCH(B177,'Calibration Schedule'!C:C,0)),"")="Sent for calibration",IFERROR(INDEX('Calibration Schedule'!J:J,MATCH(B177,'Calibration Schedule'!C:C,0)),"")="Scheduled for calibration"),IFERROR(INDEX('Calibration Schedule'!J:J,MATCH(B177,'Calibration Schedule'!C:C,0)),""),IF(M177&lt;TODAY(),"Expired",IF(M177&lt;=TODAY()+30,"Expiring Soon","Pass")))))</f>
        <v/>
      </c>
      <c r="O177" s="43"/>
      <c r="P177" s="42"/>
      <c r="Q177" s="42"/>
      <c r="R177" s="52"/>
    </row>
    <row r="178" spans="1:18" ht="27.75" customHeight="1">
      <c r="A178" s="38">
        <f t="shared" si="4"/>
        <v>175</v>
      </c>
      <c r="B178" s="39" t="s">
        <v>475</v>
      </c>
      <c r="C178" s="38" t="s">
        <v>476</v>
      </c>
      <c r="D178" s="38" t="s">
        <v>485</v>
      </c>
      <c r="E178" s="39"/>
      <c r="F178" s="39"/>
      <c r="G178" s="39"/>
      <c r="H178" s="10"/>
      <c r="I178" s="38" t="s">
        <v>137</v>
      </c>
      <c r="J178" s="38"/>
      <c r="K178" s="38"/>
      <c r="L178" s="40"/>
      <c r="M178" s="40">
        <f t="shared" si="5"/>
        <v>0</v>
      </c>
      <c r="N178" s="38" t="str">
        <f ca="1">IF(M178="","",IF(M178="","",IF(OR(IFERROR(INDEX('Calibration Schedule'!J:J,MATCH(B178,'Calibration Schedule'!C:C,0)),"")="Sent for calibration",IFERROR(INDEX('Calibration Schedule'!J:J,MATCH(B178,'Calibration Schedule'!C:C,0)),"")="Scheduled for calibration"),IFERROR(INDEX('Calibration Schedule'!J:J,MATCH(B178,'Calibration Schedule'!C:C,0)),""),IF(M178&lt;TODAY(),"Expired",IF(M178&lt;=TODAY()+30,"Expiring Soon","Pass")))))</f>
        <v>Expired</v>
      </c>
      <c r="O178" s="10"/>
      <c r="P178" s="38"/>
      <c r="Q178" s="38" t="s">
        <v>199</v>
      </c>
      <c r="R178" s="52"/>
    </row>
    <row r="179" spans="1:18" ht="27.75" customHeight="1">
      <c r="A179" s="38">
        <f t="shared" si="4"/>
        <v>176</v>
      </c>
      <c r="B179" s="41" t="s">
        <v>435</v>
      </c>
      <c r="C179" s="42" t="s">
        <v>436</v>
      </c>
      <c r="D179" s="42" t="s">
        <v>483</v>
      </c>
      <c r="E179" s="41" t="s">
        <v>477</v>
      </c>
      <c r="F179" s="41"/>
      <c r="G179" s="41"/>
      <c r="H179" s="43"/>
      <c r="I179" s="42" t="s">
        <v>142</v>
      </c>
      <c r="J179" s="42"/>
      <c r="K179" s="42" t="s">
        <v>393</v>
      </c>
      <c r="L179" s="44"/>
      <c r="M179" s="40" t="str">
        <f t="shared" si="5"/>
        <v/>
      </c>
      <c r="N179" s="38" t="str">
        <f ca="1">IF(M179="","",IF(M179="","",IF(OR(IFERROR(INDEX('Calibration Schedule'!J:J,MATCH(B179,'Calibration Schedule'!C:C,0)),"")="Sent for calibration",IFERROR(INDEX('Calibration Schedule'!J:J,MATCH(B179,'Calibration Schedule'!C:C,0)),"")="Scheduled for calibration"),IFERROR(INDEX('Calibration Schedule'!J:J,MATCH(B179,'Calibration Schedule'!C:C,0)),""),IF(M179&lt;TODAY(),"Expired",IF(M179&lt;=TODAY()+30,"Expiring Soon","Pass")))))</f>
        <v/>
      </c>
      <c r="O179" s="43"/>
      <c r="P179" s="42"/>
      <c r="Q179" s="42"/>
      <c r="R179" s="52"/>
    </row>
    <row r="180" spans="1:18">
      <c r="A180" s="38">
        <f t="shared" si="4"/>
        <v>177</v>
      </c>
      <c r="B180" s="39" t="s">
        <v>490</v>
      </c>
      <c r="C180" s="38" t="s">
        <v>382</v>
      </c>
      <c r="D180" s="38" t="s">
        <v>481</v>
      </c>
      <c r="E180" s="39" t="s">
        <v>491</v>
      </c>
      <c r="F180" s="39"/>
      <c r="G180" s="39"/>
      <c r="H180" s="10"/>
      <c r="I180" s="38" t="s">
        <v>391</v>
      </c>
      <c r="J180" s="38"/>
      <c r="K180" s="38"/>
      <c r="L180" s="40"/>
      <c r="M180" s="40">
        <f t="shared" si="5"/>
        <v>0</v>
      </c>
      <c r="N180" s="38" t="str">
        <f ca="1">IF(M180="","",IF(M180="","",IF(OR(IFERROR(INDEX('Calibration Schedule'!J:J,MATCH(B180,'Calibration Schedule'!C:C,0)),"")="Sent for calibration",IFERROR(INDEX('Calibration Schedule'!J:J,MATCH(B180,'Calibration Schedule'!C:C,0)),"")="Scheduled for calibration"),IFERROR(INDEX('Calibration Schedule'!J:J,MATCH(B180,'Calibration Schedule'!C:C,0)),""),IF(M180&lt;TODAY(),"Expired",IF(M180&lt;=TODAY()+30,"Expiring Soon","Pass")))))</f>
        <v>Expired</v>
      </c>
      <c r="O180" s="10"/>
      <c r="P180" s="38"/>
      <c r="Q180" s="38"/>
      <c r="R180" s="52"/>
    </row>
    <row r="181" spans="1:18">
      <c r="A181" s="38">
        <f t="shared" si="4"/>
        <v>178</v>
      </c>
      <c r="B181" s="41" t="s">
        <v>492</v>
      </c>
      <c r="C181" s="42" t="s">
        <v>493</v>
      </c>
      <c r="D181" s="42" t="s">
        <v>481</v>
      </c>
      <c r="E181" s="41" t="s">
        <v>494</v>
      </c>
      <c r="F181" s="41"/>
      <c r="G181" s="41"/>
      <c r="H181" s="43"/>
      <c r="I181" s="38" t="s">
        <v>391</v>
      </c>
      <c r="J181" s="42"/>
      <c r="K181" s="42"/>
      <c r="L181" s="44"/>
      <c r="M181" s="40">
        <f t="shared" si="5"/>
        <v>0</v>
      </c>
      <c r="N181" s="38" t="str">
        <f ca="1">IF(M181="","",IF(M181="","",IF(OR(IFERROR(INDEX('Calibration Schedule'!J:J,MATCH(B181,'Calibration Schedule'!C:C,0)),"")="Sent for calibration",IFERROR(INDEX('Calibration Schedule'!J:J,MATCH(B181,'Calibration Schedule'!C:C,0)),"")="Scheduled for calibration"),IFERROR(INDEX('Calibration Schedule'!J:J,MATCH(B181,'Calibration Schedule'!C:C,0)),""),IF(M181&lt;TODAY(),"Expired",IF(M181&lt;=TODAY()+30,"Expiring Soon","Pass")))))</f>
        <v>Expired</v>
      </c>
      <c r="O181" s="43"/>
      <c r="P181" s="42"/>
      <c r="Q181" s="42" t="s">
        <v>186</v>
      </c>
      <c r="R181" s="52"/>
    </row>
    <row r="182" spans="1:18">
      <c r="A182" s="38">
        <f t="shared" si="4"/>
        <v>179</v>
      </c>
      <c r="B182" s="39" t="s">
        <v>495</v>
      </c>
      <c r="C182" s="38" t="s">
        <v>496</v>
      </c>
      <c r="D182" s="38" t="s">
        <v>482</v>
      </c>
      <c r="E182" s="39" t="s">
        <v>497</v>
      </c>
      <c r="F182" s="39"/>
      <c r="G182" s="39"/>
      <c r="H182" s="10"/>
      <c r="I182" s="38" t="s">
        <v>391</v>
      </c>
      <c r="J182" s="38"/>
      <c r="K182" s="38"/>
      <c r="L182" s="40"/>
      <c r="M182" s="40">
        <f t="shared" si="5"/>
        <v>0</v>
      </c>
      <c r="N182" s="38" t="str">
        <f ca="1">IF(M182="","",IF(M182="","",IF(OR(IFERROR(INDEX('Calibration Schedule'!J:J,MATCH(B182,'Calibration Schedule'!C:C,0)),"")="Sent for calibration",IFERROR(INDEX('Calibration Schedule'!J:J,MATCH(B182,'Calibration Schedule'!C:C,0)),"")="Scheduled for calibration"),IFERROR(INDEX('Calibration Schedule'!J:J,MATCH(B182,'Calibration Schedule'!C:C,0)),""),IF(M182&lt;TODAY(),"Expired",IF(M182&lt;=TODAY()+30,"Expiring Soon","Pass")))))</f>
        <v>Expired</v>
      </c>
      <c r="O182" s="10"/>
      <c r="P182" s="38"/>
      <c r="Q182" s="38" t="s">
        <v>199</v>
      </c>
      <c r="R182" s="52"/>
    </row>
    <row r="183" spans="1:18" ht="29">
      <c r="A183" s="38">
        <f t="shared" si="4"/>
        <v>180</v>
      </c>
      <c r="B183" s="41" t="s">
        <v>498</v>
      </c>
      <c r="C183" s="42" t="s">
        <v>382</v>
      </c>
      <c r="D183" s="42" t="s">
        <v>481</v>
      </c>
      <c r="E183" s="41" t="s">
        <v>499</v>
      </c>
      <c r="F183" s="41"/>
      <c r="G183" s="41"/>
      <c r="H183" s="43"/>
      <c r="I183" s="36" t="s">
        <v>392</v>
      </c>
      <c r="J183" s="42"/>
      <c r="K183" s="42"/>
      <c r="L183" s="44"/>
      <c r="M183" s="40">
        <f t="shared" si="5"/>
        <v>0</v>
      </c>
      <c r="N183" s="38" t="str">
        <f ca="1">IF(M183="","",IF(M183="","",IF(OR(IFERROR(INDEX('Calibration Schedule'!J:J,MATCH(B183,'Calibration Schedule'!C:C,0)),"")="Sent for calibration",IFERROR(INDEX('Calibration Schedule'!J:J,MATCH(B183,'Calibration Schedule'!C:C,0)),"")="Scheduled for calibration"),IFERROR(INDEX('Calibration Schedule'!J:J,MATCH(B183,'Calibration Schedule'!C:C,0)),""),IF(M183&lt;TODAY(),"Expired",IF(M183&lt;=TODAY()+30,"Expiring Soon","Pass")))))</f>
        <v>Expired</v>
      </c>
      <c r="O183" s="43"/>
      <c r="P183" s="42"/>
      <c r="Q183" s="42" t="s">
        <v>186</v>
      </c>
      <c r="R183" s="52"/>
    </row>
    <row r="184" spans="1:18">
      <c r="A184" s="38">
        <f t="shared" si="4"/>
        <v>181</v>
      </c>
      <c r="B184" s="39" t="s">
        <v>500</v>
      </c>
      <c r="C184" s="38" t="s">
        <v>382</v>
      </c>
      <c r="D184" s="38" t="s">
        <v>481</v>
      </c>
      <c r="E184" s="39" t="s">
        <v>501</v>
      </c>
      <c r="F184" s="39"/>
      <c r="G184" s="39"/>
      <c r="H184" s="10" t="s">
        <v>502</v>
      </c>
      <c r="I184" s="36" t="s">
        <v>567</v>
      </c>
      <c r="J184" s="38"/>
      <c r="K184" s="38"/>
      <c r="L184" s="40"/>
      <c r="M184" s="40">
        <f t="shared" si="5"/>
        <v>0</v>
      </c>
      <c r="N184" s="38" t="str">
        <f ca="1">IF(M184="","",IF(M184="","",IF(OR(IFERROR(INDEX('Calibration Schedule'!J:J,MATCH(B184,'Calibration Schedule'!C:C,0)),"")="Sent for calibration",IFERROR(INDEX('Calibration Schedule'!J:J,MATCH(B184,'Calibration Schedule'!C:C,0)),"")="Scheduled for calibration"),IFERROR(INDEX('Calibration Schedule'!J:J,MATCH(B184,'Calibration Schedule'!C:C,0)),""),IF(M184&lt;TODAY(),"Expired",IF(M184&lt;=TODAY()+30,"Expiring Soon","Pass")))))</f>
        <v>Expired</v>
      </c>
      <c r="O184" s="10"/>
      <c r="P184" s="38"/>
      <c r="Q184" s="38" t="s">
        <v>191</v>
      </c>
      <c r="R184" s="52"/>
    </row>
    <row r="185" spans="1:18">
      <c r="A185" s="38">
        <f t="shared" si="4"/>
        <v>182</v>
      </c>
      <c r="B185" s="41" t="s">
        <v>503</v>
      </c>
      <c r="C185" s="42" t="s">
        <v>504</v>
      </c>
      <c r="D185" s="42" t="s">
        <v>481</v>
      </c>
      <c r="E185" s="41"/>
      <c r="F185" s="41"/>
      <c r="G185" s="41"/>
      <c r="H185" s="43" t="s">
        <v>505</v>
      </c>
      <c r="I185" s="37" t="s">
        <v>142</v>
      </c>
      <c r="J185" s="42"/>
      <c r="K185" s="42"/>
      <c r="L185" s="44"/>
      <c r="M185" s="40">
        <f t="shared" si="5"/>
        <v>0</v>
      </c>
      <c r="N185" s="38" t="str">
        <f ca="1">IF(M185="","",IF(M185="","",IF(OR(IFERROR(INDEX('Calibration Schedule'!J:J,MATCH(B185,'Calibration Schedule'!C:C,0)),"")="Sent for calibration",IFERROR(INDEX('Calibration Schedule'!J:J,MATCH(B185,'Calibration Schedule'!C:C,0)),"")="Scheduled for calibration"),IFERROR(INDEX('Calibration Schedule'!J:J,MATCH(B185,'Calibration Schedule'!C:C,0)),""),IF(M185&lt;TODAY(),"Expired",IF(M185&lt;=TODAY()+30,"Expiring Soon","Pass")))))</f>
        <v>Expired</v>
      </c>
      <c r="O185" s="43"/>
      <c r="P185" s="42"/>
      <c r="Q185" s="42" t="s">
        <v>186</v>
      </c>
      <c r="R185" s="52"/>
    </row>
    <row r="186" spans="1:18">
      <c r="A186" s="38">
        <f t="shared" si="4"/>
        <v>183</v>
      </c>
      <c r="B186" s="39" t="s">
        <v>506</v>
      </c>
      <c r="C186" s="38" t="s">
        <v>507</v>
      </c>
      <c r="D186" s="38" t="s">
        <v>481</v>
      </c>
      <c r="E186" s="39"/>
      <c r="F186" s="39"/>
      <c r="G186" s="39"/>
      <c r="H186" s="10" t="s">
        <v>502</v>
      </c>
      <c r="I186" s="36" t="s">
        <v>567</v>
      </c>
      <c r="J186" s="38"/>
      <c r="K186" s="38"/>
      <c r="L186" s="40"/>
      <c r="M186" s="40">
        <f t="shared" si="5"/>
        <v>0</v>
      </c>
      <c r="N186" s="38" t="str">
        <f ca="1">IF(M186="","",IF(M186="","",IF(OR(IFERROR(INDEX('Calibration Schedule'!J:J,MATCH(B186,'Calibration Schedule'!C:C,0)),"")="Sent for calibration",IFERROR(INDEX('Calibration Schedule'!J:J,MATCH(B186,'Calibration Schedule'!C:C,0)),"")="Scheduled for calibration"),IFERROR(INDEX('Calibration Schedule'!J:J,MATCH(B186,'Calibration Schedule'!C:C,0)),""),IF(M186&lt;TODAY(),"Expired",IF(M186&lt;=TODAY()+30,"Expiring Soon","Pass")))))</f>
        <v>Expired</v>
      </c>
      <c r="O186" s="10"/>
      <c r="P186" s="38"/>
      <c r="Q186" s="38"/>
      <c r="R186" s="52"/>
    </row>
    <row r="187" spans="1:18">
      <c r="A187" s="38">
        <f t="shared" si="4"/>
        <v>184</v>
      </c>
      <c r="B187" s="41" t="s">
        <v>508</v>
      </c>
      <c r="C187" s="42" t="s">
        <v>509</v>
      </c>
      <c r="D187" s="42"/>
      <c r="E187" s="41"/>
      <c r="F187" s="41"/>
      <c r="G187" s="41"/>
      <c r="H187" s="43"/>
      <c r="I187" s="36" t="s">
        <v>567</v>
      </c>
      <c r="J187" s="42"/>
      <c r="K187" s="42"/>
      <c r="L187" s="44"/>
      <c r="M187" s="40">
        <f t="shared" si="5"/>
        <v>0</v>
      </c>
      <c r="N187" s="38" t="str">
        <f ca="1">IF(M187="","",IF(M187="","",IF(OR(IFERROR(INDEX('Calibration Schedule'!J:J,MATCH(B187,'Calibration Schedule'!C:C,0)),"")="Sent for calibration",IFERROR(INDEX('Calibration Schedule'!J:J,MATCH(B187,'Calibration Schedule'!C:C,0)),"")="Scheduled for calibration"),IFERROR(INDEX('Calibration Schedule'!J:J,MATCH(B187,'Calibration Schedule'!C:C,0)),""),IF(M187&lt;TODAY(),"Expired",IF(M187&lt;=TODAY()+30,"Expiring Soon","Pass")))))</f>
        <v>Expired</v>
      </c>
      <c r="O187" s="43"/>
      <c r="P187" s="42"/>
      <c r="Q187" s="42"/>
      <c r="R187" s="52"/>
    </row>
    <row r="188" spans="1:18">
      <c r="A188" s="38">
        <f t="shared" si="4"/>
        <v>185</v>
      </c>
      <c r="B188" s="39" t="s">
        <v>510</v>
      </c>
      <c r="C188" s="38" t="s">
        <v>568</v>
      </c>
      <c r="D188" s="38"/>
      <c r="E188" s="39"/>
      <c r="F188" s="39"/>
      <c r="G188" s="39"/>
      <c r="H188" s="10"/>
      <c r="I188" s="36" t="s">
        <v>567</v>
      </c>
      <c r="J188" s="38"/>
      <c r="K188" s="38"/>
      <c r="L188" s="40"/>
      <c r="M188" s="40">
        <f t="shared" si="5"/>
        <v>0</v>
      </c>
      <c r="N188" s="38" t="str">
        <f ca="1">IF(M188="","",IF(M188="","",IF(OR(IFERROR(INDEX('Calibration Schedule'!J:J,MATCH(B188,'Calibration Schedule'!C:C,0)),"")="Sent for calibration",IFERROR(INDEX('Calibration Schedule'!J:J,MATCH(B188,'Calibration Schedule'!C:C,0)),"")="Scheduled for calibration"),IFERROR(INDEX('Calibration Schedule'!J:J,MATCH(B188,'Calibration Schedule'!C:C,0)),""),IF(M188&lt;TODAY(),"Expired",IF(M188&lt;=TODAY()+30,"Expiring Soon","Pass")))))</f>
        <v>Expired</v>
      </c>
      <c r="O188" s="10"/>
      <c r="P188" s="38"/>
      <c r="Q188" s="38"/>
      <c r="R188" s="52"/>
    </row>
    <row r="189" spans="1:18">
      <c r="A189" s="38">
        <f t="shared" si="4"/>
        <v>186</v>
      </c>
      <c r="B189" s="41" t="s">
        <v>511</v>
      </c>
      <c r="C189" s="42" t="s">
        <v>509</v>
      </c>
      <c r="D189" s="42"/>
      <c r="E189" s="41" t="s">
        <v>569</v>
      </c>
      <c r="F189" s="41"/>
      <c r="G189" s="41"/>
      <c r="H189" s="43"/>
      <c r="I189" s="36" t="s">
        <v>567</v>
      </c>
      <c r="J189" s="42"/>
      <c r="K189" s="42"/>
      <c r="L189" s="44"/>
      <c r="M189" s="40">
        <f t="shared" si="5"/>
        <v>0</v>
      </c>
      <c r="N189" s="38" t="str">
        <f ca="1">IF(M189="","",IF(M189="","",IF(OR(IFERROR(INDEX('Calibration Schedule'!J:J,MATCH(B189,'Calibration Schedule'!C:C,0)),"")="Sent for calibration",IFERROR(INDEX('Calibration Schedule'!J:J,MATCH(B189,'Calibration Schedule'!C:C,0)),"")="Scheduled for calibration"),IFERROR(INDEX('Calibration Schedule'!J:J,MATCH(B189,'Calibration Schedule'!C:C,0)),""),IF(M189&lt;TODAY(),"Expired",IF(M189&lt;=TODAY()+30,"Expiring Soon","Pass")))))</f>
        <v>Expired</v>
      </c>
      <c r="O189" s="43"/>
      <c r="P189" s="42"/>
      <c r="Q189" s="42"/>
      <c r="R189" s="52"/>
    </row>
    <row r="190" spans="1:18">
      <c r="A190" s="38">
        <f t="shared" si="4"/>
        <v>187</v>
      </c>
      <c r="B190" s="39" t="s">
        <v>512</v>
      </c>
      <c r="C190" s="38" t="s">
        <v>570</v>
      </c>
      <c r="D190" s="38"/>
      <c r="E190" s="39"/>
      <c r="F190" s="39"/>
      <c r="G190" s="39"/>
      <c r="H190" s="10"/>
      <c r="I190" s="36" t="s">
        <v>567</v>
      </c>
      <c r="J190" s="38"/>
      <c r="K190" s="38"/>
      <c r="L190" s="40"/>
      <c r="M190" s="40">
        <f t="shared" si="5"/>
        <v>0</v>
      </c>
      <c r="N190" s="38" t="str">
        <f ca="1">IF(M190="","",IF(M190="","",IF(OR(IFERROR(INDEX('Calibration Schedule'!J:J,MATCH(B190,'Calibration Schedule'!C:C,0)),"")="Sent for calibration",IFERROR(INDEX('Calibration Schedule'!J:J,MATCH(B190,'Calibration Schedule'!C:C,0)),"")="Scheduled for calibration"),IFERROR(INDEX('Calibration Schedule'!J:J,MATCH(B190,'Calibration Schedule'!C:C,0)),""),IF(M190&lt;TODAY(),"Expired",IF(M190&lt;=TODAY()+30,"Expiring Soon","Pass")))))</f>
        <v>Expired</v>
      </c>
      <c r="O190" s="10"/>
      <c r="P190" s="38"/>
      <c r="Q190" s="38"/>
      <c r="R190" s="52"/>
    </row>
    <row r="191" spans="1:18">
      <c r="A191" s="38">
        <f t="shared" si="4"/>
        <v>188</v>
      </c>
      <c r="B191" s="41" t="s">
        <v>513</v>
      </c>
      <c r="C191" s="42" t="s">
        <v>509</v>
      </c>
      <c r="D191" s="42"/>
      <c r="E191" s="41" t="s">
        <v>571</v>
      </c>
      <c r="F191" s="41"/>
      <c r="G191" s="41"/>
      <c r="H191" s="43"/>
      <c r="I191" s="36" t="s">
        <v>567</v>
      </c>
      <c r="J191" s="42"/>
      <c r="K191" s="42"/>
      <c r="L191" s="44"/>
      <c r="M191" s="40">
        <f t="shared" si="5"/>
        <v>0</v>
      </c>
      <c r="N191" s="38" t="str">
        <f ca="1">IF(M191="","",IF(M191="","",IF(OR(IFERROR(INDEX('Calibration Schedule'!J:J,MATCH(B191,'Calibration Schedule'!C:C,0)),"")="Sent for calibration",IFERROR(INDEX('Calibration Schedule'!J:J,MATCH(B191,'Calibration Schedule'!C:C,0)),"")="Scheduled for calibration"),IFERROR(INDEX('Calibration Schedule'!J:J,MATCH(B191,'Calibration Schedule'!C:C,0)),""),IF(M191&lt;TODAY(),"Expired",IF(M191&lt;=TODAY()+30,"Expiring Soon","Pass")))))</f>
        <v>Expired</v>
      </c>
      <c r="O191" s="43"/>
      <c r="P191" s="42"/>
      <c r="Q191" s="42"/>
      <c r="R191" s="52"/>
    </row>
    <row r="192" spans="1:18">
      <c r="A192" s="38">
        <f t="shared" si="4"/>
        <v>189</v>
      </c>
      <c r="B192" s="39" t="s">
        <v>514</v>
      </c>
      <c r="C192" s="38" t="s">
        <v>572</v>
      </c>
      <c r="D192" s="38"/>
      <c r="E192" s="39"/>
      <c r="F192" s="39"/>
      <c r="G192" s="39"/>
      <c r="H192" s="10"/>
      <c r="I192" s="36" t="s">
        <v>567</v>
      </c>
      <c r="J192" s="38"/>
      <c r="K192" s="38"/>
      <c r="L192" s="40"/>
      <c r="M192" s="40">
        <f t="shared" si="5"/>
        <v>0</v>
      </c>
      <c r="N192" s="38" t="str">
        <f ca="1">IF(M192="","",IF(M192="","",IF(OR(IFERROR(INDEX('Calibration Schedule'!J:J,MATCH(B192,'Calibration Schedule'!C:C,0)),"")="Sent for calibration",IFERROR(INDEX('Calibration Schedule'!J:J,MATCH(B192,'Calibration Schedule'!C:C,0)),"")="Scheduled for calibration"),IFERROR(INDEX('Calibration Schedule'!J:J,MATCH(B192,'Calibration Schedule'!C:C,0)),""),IF(M192&lt;TODAY(),"Expired",IF(M192&lt;=TODAY()+30,"Expiring Soon","Pass")))))</f>
        <v>Expired</v>
      </c>
      <c r="O192" s="10"/>
      <c r="P192" s="38"/>
      <c r="Q192" s="38"/>
      <c r="R192" s="52"/>
    </row>
    <row r="193" spans="1:18">
      <c r="A193" s="38">
        <f t="shared" si="4"/>
        <v>190</v>
      </c>
      <c r="B193" s="41" t="s">
        <v>515</v>
      </c>
      <c r="C193" s="42" t="s">
        <v>573</v>
      </c>
      <c r="D193" s="42"/>
      <c r="E193" s="41" t="s">
        <v>574</v>
      </c>
      <c r="F193" s="41"/>
      <c r="G193" s="41"/>
      <c r="H193" s="43"/>
      <c r="I193" s="36" t="s">
        <v>567</v>
      </c>
      <c r="J193" s="42"/>
      <c r="K193" s="42"/>
      <c r="L193" s="44"/>
      <c r="M193" s="40">
        <f t="shared" si="5"/>
        <v>0</v>
      </c>
      <c r="N193" s="38" t="str">
        <f ca="1">IF(M193="","",IF(M193="","",IF(OR(IFERROR(INDEX('Calibration Schedule'!J:J,MATCH(B193,'Calibration Schedule'!C:C,0)),"")="Sent for calibration",IFERROR(INDEX('Calibration Schedule'!J:J,MATCH(B193,'Calibration Schedule'!C:C,0)),"")="Scheduled for calibration"),IFERROR(INDEX('Calibration Schedule'!J:J,MATCH(B193,'Calibration Schedule'!C:C,0)),""),IF(M193&lt;TODAY(),"Expired",IF(M193&lt;=TODAY()+30,"Expiring Soon","Pass")))))</f>
        <v>Expired</v>
      </c>
      <c r="O193" s="43"/>
      <c r="P193" s="42"/>
      <c r="Q193" s="42"/>
      <c r="R193" s="52"/>
    </row>
    <row r="194" spans="1:18">
      <c r="A194" s="38">
        <f t="shared" si="4"/>
        <v>191</v>
      </c>
      <c r="B194" s="39" t="s">
        <v>516</v>
      </c>
      <c r="C194" s="38" t="s">
        <v>509</v>
      </c>
      <c r="D194" s="38"/>
      <c r="E194" s="39" t="s">
        <v>575</v>
      </c>
      <c r="F194" s="39"/>
      <c r="G194" s="39"/>
      <c r="H194" s="10"/>
      <c r="I194" s="36" t="s">
        <v>567</v>
      </c>
      <c r="J194" s="38"/>
      <c r="K194" s="38"/>
      <c r="L194" s="40"/>
      <c r="M194" s="40">
        <f t="shared" si="5"/>
        <v>0</v>
      </c>
      <c r="N194" s="38" t="str">
        <f ca="1">IF(M194="","",IF(M194="","",IF(OR(IFERROR(INDEX('Calibration Schedule'!J:J,MATCH(B194,'Calibration Schedule'!C:C,0)),"")="Sent for calibration",IFERROR(INDEX('Calibration Schedule'!J:J,MATCH(B194,'Calibration Schedule'!C:C,0)),"")="Scheduled for calibration"),IFERROR(INDEX('Calibration Schedule'!J:J,MATCH(B194,'Calibration Schedule'!C:C,0)),""),IF(M194&lt;TODAY(),"Expired",IF(M194&lt;=TODAY()+30,"Expiring Soon","Pass")))))</f>
        <v>Expired</v>
      </c>
      <c r="O194" s="10"/>
      <c r="P194" s="38"/>
      <c r="Q194" s="38"/>
      <c r="R194" s="52"/>
    </row>
    <row r="195" spans="1:18">
      <c r="A195" s="38">
        <f t="shared" si="4"/>
        <v>192</v>
      </c>
      <c r="B195" s="41" t="s">
        <v>517</v>
      </c>
      <c r="C195" s="42" t="s">
        <v>509</v>
      </c>
      <c r="D195" s="42"/>
      <c r="E195" s="41" t="s">
        <v>576</v>
      </c>
      <c r="F195" s="41"/>
      <c r="G195" s="41"/>
      <c r="H195" s="43"/>
      <c r="I195" s="36" t="s">
        <v>567</v>
      </c>
      <c r="J195" s="42"/>
      <c r="K195" s="42"/>
      <c r="L195" s="44"/>
      <c r="M195" s="40">
        <f t="shared" si="5"/>
        <v>0</v>
      </c>
      <c r="N195" s="38" t="str">
        <f ca="1">IF(M195="","",IF(M195="","",IF(OR(IFERROR(INDEX('Calibration Schedule'!J:J,MATCH(B195,'Calibration Schedule'!C:C,0)),"")="Sent for calibration",IFERROR(INDEX('Calibration Schedule'!J:J,MATCH(B195,'Calibration Schedule'!C:C,0)),"")="Scheduled for calibration"),IFERROR(INDEX('Calibration Schedule'!J:J,MATCH(B195,'Calibration Schedule'!C:C,0)),""),IF(M195&lt;TODAY(),"Expired",IF(M195&lt;=TODAY()+30,"Expiring Soon","Pass")))))</f>
        <v>Expired</v>
      </c>
      <c r="O195" s="43"/>
      <c r="P195" s="42"/>
      <c r="Q195" s="42"/>
      <c r="R195" s="52"/>
    </row>
    <row r="196" spans="1:18">
      <c r="A196" s="38">
        <f t="shared" ref="A196:A259" si="6">IF(B196="","",ROW(B196)-3)</f>
        <v>193</v>
      </c>
      <c r="B196" s="39" t="s">
        <v>518</v>
      </c>
      <c r="C196" s="38" t="s">
        <v>509</v>
      </c>
      <c r="D196" s="38"/>
      <c r="E196" s="39" t="s">
        <v>577</v>
      </c>
      <c r="F196" s="39"/>
      <c r="G196" s="39"/>
      <c r="H196" s="10"/>
      <c r="I196" s="36" t="s">
        <v>567</v>
      </c>
      <c r="J196" s="38"/>
      <c r="K196" s="38"/>
      <c r="L196" s="40"/>
      <c r="M196" s="40">
        <f t="shared" si="5"/>
        <v>0</v>
      </c>
      <c r="N196" s="38" t="str">
        <f ca="1">IF(M196="","",IF(M196="","",IF(OR(IFERROR(INDEX('Calibration Schedule'!J:J,MATCH(B196,'Calibration Schedule'!C:C,0)),"")="Sent for calibration",IFERROR(INDEX('Calibration Schedule'!J:J,MATCH(B196,'Calibration Schedule'!C:C,0)),"")="Scheduled for calibration"),IFERROR(INDEX('Calibration Schedule'!J:J,MATCH(B196,'Calibration Schedule'!C:C,0)),""),IF(M196&lt;TODAY(),"Expired",IF(M196&lt;=TODAY()+30,"Expiring Soon","Pass")))))</f>
        <v>Expired</v>
      </c>
      <c r="O196" s="10"/>
      <c r="P196" s="38"/>
      <c r="Q196" s="38"/>
      <c r="R196" s="52"/>
    </row>
    <row r="197" spans="1:18">
      <c r="A197" s="38">
        <f t="shared" si="6"/>
        <v>194</v>
      </c>
      <c r="B197" s="41" t="s">
        <v>519</v>
      </c>
      <c r="C197" s="42" t="s">
        <v>509</v>
      </c>
      <c r="D197" s="42"/>
      <c r="E197" s="41" t="s">
        <v>578</v>
      </c>
      <c r="F197" s="41"/>
      <c r="G197" s="41"/>
      <c r="H197" s="43"/>
      <c r="I197" s="36" t="s">
        <v>567</v>
      </c>
      <c r="J197" s="42"/>
      <c r="K197" s="42"/>
      <c r="L197" s="44"/>
      <c r="M197" s="40">
        <f t="shared" ref="M197:M260" si="7">IF(B197="","",IF(K197="Not Eligible","",IFERROR(EDATE(L197,K197),"")))</f>
        <v>0</v>
      </c>
      <c r="N197" s="38" t="str">
        <f ca="1">IF(M197="","",IF(M197="","",IF(OR(IFERROR(INDEX('Calibration Schedule'!J:J,MATCH(B197,'Calibration Schedule'!C:C,0)),"")="Sent for calibration",IFERROR(INDEX('Calibration Schedule'!J:J,MATCH(B197,'Calibration Schedule'!C:C,0)),"")="Scheduled for calibration"),IFERROR(INDEX('Calibration Schedule'!J:J,MATCH(B197,'Calibration Schedule'!C:C,0)),""),IF(M197&lt;TODAY(),"Expired",IF(M197&lt;=TODAY()+30,"Expiring Soon","Pass")))))</f>
        <v>Expired</v>
      </c>
      <c r="O197" s="43"/>
      <c r="P197" s="42"/>
      <c r="Q197" s="42"/>
      <c r="R197" s="52"/>
    </row>
    <row r="198" spans="1:18">
      <c r="A198" s="38">
        <f t="shared" si="6"/>
        <v>195</v>
      </c>
      <c r="B198" s="39" t="s">
        <v>520</v>
      </c>
      <c r="C198" s="38" t="s">
        <v>579</v>
      </c>
      <c r="D198" s="38"/>
      <c r="E198" s="39" t="s">
        <v>580</v>
      </c>
      <c r="F198" s="39"/>
      <c r="G198" s="39"/>
      <c r="H198" s="10"/>
      <c r="I198" s="36" t="s">
        <v>567</v>
      </c>
      <c r="J198" s="38"/>
      <c r="K198" s="38"/>
      <c r="L198" s="40"/>
      <c r="M198" s="40">
        <f t="shared" si="7"/>
        <v>0</v>
      </c>
      <c r="N198" s="38" t="str">
        <f ca="1">IF(M198="","",IF(M198="","",IF(OR(IFERROR(INDEX('Calibration Schedule'!J:J,MATCH(B198,'Calibration Schedule'!C:C,0)),"")="Sent for calibration",IFERROR(INDEX('Calibration Schedule'!J:J,MATCH(B198,'Calibration Schedule'!C:C,0)),"")="Scheduled for calibration"),IFERROR(INDEX('Calibration Schedule'!J:J,MATCH(B198,'Calibration Schedule'!C:C,0)),""),IF(M198&lt;TODAY(),"Expired",IF(M198&lt;=TODAY()+30,"Expiring Soon","Pass")))))</f>
        <v>Expired</v>
      </c>
      <c r="O198" s="10"/>
      <c r="P198" s="38"/>
      <c r="Q198" s="38"/>
      <c r="R198" s="52"/>
    </row>
    <row r="199" spans="1:18">
      <c r="A199" s="38">
        <f t="shared" si="6"/>
        <v>196</v>
      </c>
      <c r="B199" s="41" t="s">
        <v>521</v>
      </c>
      <c r="C199" s="42" t="s">
        <v>509</v>
      </c>
      <c r="D199" s="42"/>
      <c r="E199" s="41" t="s">
        <v>581</v>
      </c>
      <c r="F199" s="41"/>
      <c r="G199" s="41"/>
      <c r="H199" s="43"/>
      <c r="I199" s="36" t="s">
        <v>567</v>
      </c>
      <c r="J199" s="42"/>
      <c r="K199" s="42"/>
      <c r="L199" s="44"/>
      <c r="M199" s="40">
        <f t="shared" si="7"/>
        <v>0</v>
      </c>
      <c r="N199" s="38" t="str">
        <f ca="1">IF(M199="","",IF(M199="","",IF(OR(IFERROR(INDEX('Calibration Schedule'!J:J,MATCH(B199,'Calibration Schedule'!C:C,0)),"")="Sent for calibration",IFERROR(INDEX('Calibration Schedule'!J:J,MATCH(B199,'Calibration Schedule'!C:C,0)),"")="Scheduled for calibration"),IFERROR(INDEX('Calibration Schedule'!J:J,MATCH(B199,'Calibration Schedule'!C:C,0)),""),IF(M199&lt;TODAY(),"Expired",IF(M199&lt;=TODAY()+30,"Expiring Soon","Pass")))))</f>
        <v>Expired</v>
      </c>
      <c r="O199" s="43"/>
      <c r="P199" s="42"/>
      <c r="Q199" s="42"/>
      <c r="R199" s="52"/>
    </row>
    <row r="200" spans="1:18">
      <c r="A200" s="38">
        <f t="shared" si="6"/>
        <v>197</v>
      </c>
      <c r="B200" s="39" t="s">
        <v>522</v>
      </c>
      <c r="C200" s="38" t="s">
        <v>509</v>
      </c>
      <c r="D200" s="38"/>
      <c r="E200" s="39" t="s">
        <v>582</v>
      </c>
      <c r="F200" s="39"/>
      <c r="G200" s="39"/>
      <c r="H200" s="10"/>
      <c r="I200" s="36" t="s">
        <v>567</v>
      </c>
      <c r="J200" s="38"/>
      <c r="K200" s="38"/>
      <c r="L200" s="40"/>
      <c r="M200" s="40">
        <f t="shared" si="7"/>
        <v>0</v>
      </c>
      <c r="N200" s="38" t="str">
        <f ca="1">IF(M200="","",IF(M200="","",IF(OR(IFERROR(INDEX('Calibration Schedule'!J:J,MATCH(B200,'Calibration Schedule'!C:C,0)),"")="Sent for calibration",IFERROR(INDEX('Calibration Schedule'!J:J,MATCH(B200,'Calibration Schedule'!C:C,0)),"")="Scheduled for calibration"),IFERROR(INDEX('Calibration Schedule'!J:J,MATCH(B200,'Calibration Schedule'!C:C,0)),""),IF(M200&lt;TODAY(),"Expired",IF(M200&lt;=TODAY()+30,"Expiring Soon","Pass")))))</f>
        <v>Expired</v>
      </c>
      <c r="O200" s="10"/>
      <c r="P200" s="38"/>
      <c r="Q200" s="38"/>
      <c r="R200" s="52"/>
    </row>
    <row r="201" spans="1:18">
      <c r="A201" s="38">
        <f t="shared" si="6"/>
        <v>198</v>
      </c>
      <c r="B201" s="41" t="s">
        <v>523</v>
      </c>
      <c r="C201" s="42" t="s">
        <v>509</v>
      </c>
      <c r="D201" s="42"/>
      <c r="E201" s="41" t="s">
        <v>583</v>
      </c>
      <c r="F201" s="41"/>
      <c r="G201" s="41"/>
      <c r="H201" s="43"/>
      <c r="I201" s="36" t="s">
        <v>567</v>
      </c>
      <c r="J201" s="42"/>
      <c r="K201" s="42"/>
      <c r="L201" s="44"/>
      <c r="M201" s="40">
        <f t="shared" si="7"/>
        <v>0</v>
      </c>
      <c r="N201" s="38" t="str">
        <f ca="1">IF(M201="","",IF(M201="","",IF(OR(IFERROR(INDEX('Calibration Schedule'!J:J,MATCH(B201,'Calibration Schedule'!C:C,0)),"")="Sent for calibration",IFERROR(INDEX('Calibration Schedule'!J:J,MATCH(B201,'Calibration Schedule'!C:C,0)),"")="Scheduled for calibration"),IFERROR(INDEX('Calibration Schedule'!J:J,MATCH(B201,'Calibration Schedule'!C:C,0)),""),IF(M201&lt;TODAY(),"Expired",IF(M201&lt;=TODAY()+30,"Expiring Soon","Pass")))))</f>
        <v>Expired</v>
      </c>
      <c r="O201" s="43"/>
      <c r="P201" s="42"/>
      <c r="Q201" s="42"/>
      <c r="R201" s="52"/>
    </row>
    <row r="202" spans="1:18">
      <c r="A202" s="38">
        <f t="shared" si="6"/>
        <v>199</v>
      </c>
      <c r="B202" s="39" t="s">
        <v>524</v>
      </c>
      <c r="C202" s="38" t="s">
        <v>509</v>
      </c>
      <c r="D202" s="38"/>
      <c r="E202" s="39" t="s">
        <v>584</v>
      </c>
      <c r="F202" s="39"/>
      <c r="G202" s="39"/>
      <c r="H202" s="10"/>
      <c r="I202" s="36" t="s">
        <v>567</v>
      </c>
      <c r="J202" s="38"/>
      <c r="K202" s="38"/>
      <c r="L202" s="40"/>
      <c r="M202" s="40">
        <f t="shared" si="7"/>
        <v>0</v>
      </c>
      <c r="N202" s="38" t="str">
        <f ca="1">IF(M202="","",IF(M202="","",IF(OR(IFERROR(INDEX('Calibration Schedule'!J:J,MATCH(B202,'Calibration Schedule'!C:C,0)),"")="Sent for calibration",IFERROR(INDEX('Calibration Schedule'!J:J,MATCH(B202,'Calibration Schedule'!C:C,0)),"")="Scheduled for calibration"),IFERROR(INDEX('Calibration Schedule'!J:J,MATCH(B202,'Calibration Schedule'!C:C,0)),""),IF(M202&lt;TODAY(),"Expired",IF(M202&lt;=TODAY()+30,"Expiring Soon","Pass")))))</f>
        <v>Expired</v>
      </c>
      <c r="O202" s="10"/>
      <c r="P202" s="38"/>
      <c r="Q202" s="38"/>
      <c r="R202" s="52"/>
    </row>
    <row r="203" spans="1:18">
      <c r="A203" s="38">
        <f t="shared" si="6"/>
        <v>200</v>
      </c>
      <c r="B203" s="41" t="s">
        <v>525</v>
      </c>
      <c r="C203" s="42" t="s">
        <v>585</v>
      </c>
      <c r="D203" s="42"/>
      <c r="E203" s="41"/>
      <c r="F203" s="41"/>
      <c r="G203" s="41"/>
      <c r="H203" s="43"/>
      <c r="I203" s="36" t="s">
        <v>567</v>
      </c>
      <c r="J203" s="42"/>
      <c r="K203" s="42"/>
      <c r="L203" s="44"/>
      <c r="M203" s="40">
        <f t="shared" si="7"/>
        <v>0</v>
      </c>
      <c r="N203" s="38" t="str">
        <f ca="1">IF(M203="","",IF(M203="","",IF(OR(IFERROR(INDEX('Calibration Schedule'!J:J,MATCH(B203,'Calibration Schedule'!C:C,0)),"")="Sent for calibration",IFERROR(INDEX('Calibration Schedule'!J:J,MATCH(B203,'Calibration Schedule'!C:C,0)),"")="Scheduled for calibration"),IFERROR(INDEX('Calibration Schedule'!J:J,MATCH(B203,'Calibration Schedule'!C:C,0)),""),IF(M203&lt;TODAY(),"Expired",IF(M203&lt;=TODAY()+30,"Expiring Soon","Pass")))))</f>
        <v>Expired</v>
      </c>
      <c r="O203" s="43"/>
      <c r="P203" s="42"/>
      <c r="Q203" s="42"/>
      <c r="R203" s="52"/>
    </row>
    <row r="204" spans="1:18">
      <c r="A204" s="38">
        <f t="shared" si="6"/>
        <v>201</v>
      </c>
      <c r="B204" s="39" t="s">
        <v>526</v>
      </c>
      <c r="C204" s="38" t="s">
        <v>509</v>
      </c>
      <c r="D204" s="38"/>
      <c r="E204" s="39" t="s">
        <v>586</v>
      </c>
      <c r="F204" s="39"/>
      <c r="G204" s="39"/>
      <c r="H204" s="10"/>
      <c r="I204" s="36" t="s">
        <v>567</v>
      </c>
      <c r="J204" s="38"/>
      <c r="K204" s="38"/>
      <c r="L204" s="40"/>
      <c r="M204" s="40">
        <f t="shared" si="7"/>
        <v>0</v>
      </c>
      <c r="N204" s="38" t="str">
        <f ca="1">IF(M204="","",IF(M204="","",IF(OR(IFERROR(INDEX('Calibration Schedule'!J:J,MATCH(B204,'Calibration Schedule'!C:C,0)),"")="Sent for calibration",IFERROR(INDEX('Calibration Schedule'!J:J,MATCH(B204,'Calibration Schedule'!C:C,0)),"")="Scheduled for calibration"),IFERROR(INDEX('Calibration Schedule'!J:J,MATCH(B204,'Calibration Schedule'!C:C,0)),""),IF(M204&lt;TODAY(),"Expired",IF(M204&lt;=TODAY()+30,"Expiring Soon","Pass")))))</f>
        <v>Expired</v>
      </c>
      <c r="O204" s="10"/>
      <c r="P204" s="38"/>
      <c r="Q204" s="38"/>
      <c r="R204" s="52"/>
    </row>
    <row r="205" spans="1:18">
      <c r="A205" s="38">
        <f t="shared" si="6"/>
        <v>202</v>
      </c>
      <c r="B205" s="41" t="s">
        <v>527</v>
      </c>
      <c r="C205" s="42" t="s">
        <v>509</v>
      </c>
      <c r="D205" s="42"/>
      <c r="E205" s="41" t="s">
        <v>569</v>
      </c>
      <c r="F205" s="41"/>
      <c r="G205" s="41"/>
      <c r="H205" s="43"/>
      <c r="I205" s="36" t="s">
        <v>567</v>
      </c>
      <c r="J205" s="42"/>
      <c r="K205" s="42"/>
      <c r="L205" s="44"/>
      <c r="M205" s="40">
        <f t="shared" si="7"/>
        <v>0</v>
      </c>
      <c r="N205" s="38" t="str">
        <f ca="1">IF(M205="","",IF(M205="","",IF(OR(IFERROR(INDEX('Calibration Schedule'!J:J,MATCH(B205,'Calibration Schedule'!C:C,0)),"")="Sent for calibration",IFERROR(INDEX('Calibration Schedule'!J:J,MATCH(B205,'Calibration Schedule'!C:C,0)),"")="Scheduled for calibration"),IFERROR(INDEX('Calibration Schedule'!J:J,MATCH(B205,'Calibration Schedule'!C:C,0)),""),IF(M205&lt;TODAY(),"Expired",IF(M205&lt;=TODAY()+30,"Expiring Soon","Pass")))))</f>
        <v>Expired</v>
      </c>
      <c r="O205" s="43"/>
      <c r="P205" s="42"/>
      <c r="Q205" s="42"/>
      <c r="R205" s="52"/>
    </row>
    <row r="206" spans="1:18">
      <c r="A206" s="38">
        <f t="shared" si="6"/>
        <v>203</v>
      </c>
      <c r="B206" s="39" t="s">
        <v>528</v>
      </c>
      <c r="C206" s="38" t="s">
        <v>509</v>
      </c>
      <c r="D206" s="38"/>
      <c r="E206" s="39" t="s">
        <v>587</v>
      </c>
      <c r="F206" s="39"/>
      <c r="G206" s="39"/>
      <c r="H206" s="10"/>
      <c r="I206" s="36" t="s">
        <v>567</v>
      </c>
      <c r="J206" s="38"/>
      <c r="K206" s="38"/>
      <c r="L206" s="40"/>
      <c r="M206" s="40">
        <f t="shared" si="7"/>
        <v>0</v>
      </c>
      <c r="N206" s="38" t="str">
        <f ca="1">IF(M206="","",IF(M206="","",IF(OR(IFERROR(INDEX('Calibration Schedule'!J:J,MATCH(B206,'Calibration Schedule'!C:C,0)),"")="Sent for calibration",IFERROR(INDEX('Calibration Schedule'!J:J,MATCH(B206,'Calibration Schedule'!C:C,0)),"")="Scheduled for calibration"),IFERROR(INDEX('Calibration Schedule'!J:J,MATCH(B206,'Calibration Schedule'!C:C,0)),""),IF(M206&lt;TODAY(),"Expired",IF(M206&lt;=TODAY()+30,"Expiring Soon","Pass")))))</f>
        <v>Expired</v>
      </c>
      <c r="O206" s="10"/>
      <c r="P206" s="38"/>
      <c r="Q206" s="38"/>
      <c r="R206" s="52"/>
    </row>
    <row r="207" spans="1:18">
      <c r="A207" s="38">
        <f t="shared" si="6"/>
        <v>204</v>
      </c>
      <c r="B207" s="41" t="s">
        <v>529</v>
      </c>
      <c r="C207" s="42" t="s">
        <v>509</v>
      </c>
      <c r="D207" s="42"/>
      <c r="E207" s="41" t="s">
        <v>588</v>
      </c>
      <c r="F207" s="41"/>
      <c r="G207" s="41"/>
      <c r="H207" s="43"/>
      <c r="I207" s="36" t="s">
        <v>567</v>
      </c>
      <c r="J207" s="42"/>
      <c r="K207" s="42"/>
      <c r="L207" s="44"/>
      <c r="M207" s="40">
        <f t="shared" si="7"/>
        <v>0</v>
      </c>
      <c r="N207" s="38" t="str">
        <f ca="1">IF(M207="","",IF(M207="","",IF(OR(IFERROR(INDEX('Calibration Schedule'!J:J,MATCH(B207,'Calibration Schedule'!C:C,0)),"")="Sent for calibration",IFERROR(INDEX('Calibration Schedule'!J:J,MATCH(B207,'Calibration Schedule'!C:C,0)),"")="Scheduled for calibration"),IFERROR(INDEX('Calibration Schedule'!J:J,MATCH(B207,'Calibration Schedule'!C:C,0)),""),IF(M207&lt;TODAY(),"Expired",IF(M207&lt;=TODAY()+30,"Expiring Soon","Pass")))))</f>
        <v>Expired</v>
      </c>
      <c r="O207" s="43"/>
      <c r="P207" s="42"/>
      <c r="Q207" s="42"/>
      <c r="R207" s="52"/>
    </row>
    <row r="208" spans="1:18">
      <c r="A208" s="38">
        <f t="shared" si="6"/>
        <v>205</v>
      </c>
      <c r="B208" s="39" t="s">
        <v>530</v>
      </c>
      <c r="C208" s="38" t="s">
        <v>509</v>
      </c>
      <c r="D208" s="38"/>
      <c r="E208" s="39" t="s">
        <v>589</v>
      </c>
      <c r="F208" s="39"/>
      <c r="G208" s="39"/>
      <c r="H208" s="10"/>
      <c r="I208" s="36" t="s">
        <v>567</v>
      </c>
      <c r="J208" s="38"/>
      <c r="K208" s="38"/>
      <c r="L208" s="40"/>
      <c r="M208" s="40">
        <f t="shared" si="7"/>
        <v>0</v>
      </c>
      <c r="N208" s="38" t="str">
        <f ca="1">IF(M208="","",IF(M208="","",IF(OR(IFERROR(INDEX('Calibration Schedule'!J:J,MATCH(B208,'Calibration Schedule'!C:C,0)),"")="Sent for calibration",IFERROR(INDEX('Calibration Schedule'!J:J,MATCH(B208,'Calibration Schedule'!C:C,0)),"")="Scheduled for calibration"),IFERROR(INDEX('Calibration Schedule'!J:J,MATCH(B208,'Calibration Schedule'!C:C,0)),""),IF(M208&lt;TODAY(),"Expired",IF(M208&lt;=TODAY()+30,"Expiring Soon","Pass")))))</f>
        <v>Expired</v>
      </c>
      <c r="O208" s="10"/>
      <c r="P208" s="38"/>
      <c r="Q208" s="38"/>
      <c r="R208" s="52"/>
    </row>
    <row r="209" spans="1:18">
      <c r="A209" s="38">
        <f t="shared" si="6"/>
        <v>206</v>
      </c>
      <c r="B209" s="41" t="s">
        <v>531</v>
      </c>
      <c r="C209" s="42" t="s">
        <v>509</v>
      </c>
      <c r="D209" s="42"/>
      <c r="E209" s="41" t="s">
        <v>590</v>
      </c>
      <c r="F209" s="41"/>
      <c r="G209" s="41"/>
      <c r="H209" s="43"/>
      <c r="I209" s="36" t="s">
        <v>567</v>
      </c>
      <c r="J209" s="42"/>
      <c r="K209" s="42"/>
      <c r="L209" s="44"/>
      <c r="M209" s="40">
        <f t="shared" si="7"/>
        <v>0</v>
      </c>
      <c r="N209" s="38" t="str">
        <f ca="1">IF(M209="","",IF(M209="","",IF(OR(IFERROR(INDEX('Calibration Schedule'!J:J,MATCH(B209,'Calibration Schedule'!C:C,0)),"")="Sent for calibration",IFERROR(INDEX('Calibration Schedule'!J:J,MATCH(B209,'Calibration Schedule'!C:C,0)),"")="Scheduled for calibration"),IFERROR(INDEX('Calibration Schedule'!J:J,MATCH(B209,'Calibration Schedule'!C:C,0)),""),IF(M209&lt;TODAY(),"Expired",IF(M209&lt;=TODAY()+30,"Expiring Soon","Pass")))))</f>
        <v>Expired</v>
      </c>
      <c r="O209" s="43"/>
      <c r="P209" s="42"/>
      <c r="Q209" s="42"/>
      <c r="R209" s="52"/>
    </row>
    <row r="210" spans="1:18">
      <c r="A210" s="38">
        <f t="shared" si="6"/>
        <v>207</v>
      </c>
      <c r="B210" s="39" t="s">
        <v>532</v>
      </c>
      <c r="C210" s="38" t="s">
        <v>509</v>
      </c>
      <c r="D210" s="38"/>
      <c r="E210" s="39" t="s">
        <v>591</v>
      </c>
      <c r="F210" s="39"/>
      <c r="G210" s="39"/>
      <c r="H210" s="10"/>
      <c r="I210" s="36" t="s">
        <v>567</v>
      </c>
      <c r="J210" s="38"/>
      <c r="K210" s="38"/>
      <c r="L210" s="40"/>
      <c r="M210" s="40">
        <f t="shared" si="7"/>
        <v>0</v>
      </c>
      <c r="N210" s="38" t="str">
        <f ca="1">IF(M210="","",IF(M210="","",IF(OR(IFERROR(INDEX('Calibration Schedule'!J:J,MATCH(B210,'Calibration Schedule'!C:C,0)),"")="Sent for calibration",IFERROR(INDEX('Calibration Schedule'!J:J,MATCH(B210,'Calibration Schedule'!C:C,0)),"")="Scheduled for calibration"),IFERROR(INDEX('Calibration Schedule'!J:J,MATCH(B210,'Calibration Schedule'!C:C,0)),""),IF(M210&lt;TODAY(),"Expired",IF(M210&lt;=TODAY()+30,"Expiring Soon","Pass")))))</f>
        <v>Expired</v>
      </c>
      <c r="O210" s="10"/>
      <c r="P210" s="38"/>
      <c r="Q210" s="38"/>
      <c r="R210" s="52"/>
    </row>
    <row r="211" spans="1:18">
      <c r="A211" s="38">
        <f t="shared" si="6"/>
        <v>208</v>
      </c>
      <c r="B211" s="41" t="s">
        <v>533</v>
      </c>
      <c r="C211" s="42" t="s">
        <v>509</v>
      </c>
      <c r="D211" s="42"/>
      <c r="E211" s="41" t="s">
        <v>592</v>
      </c>
      <c r="F211" s="41"/>
      <c r="G211" s="41"/>
      <c r="H211" s="43"/>
      <c r="I211" s="36" t="s">
        <v>567</v>
      </c>
      <c r="J211" s="42"/>
      <c r="K211" s="42"/>
      <c r="L211" s="44"/>
      <c r="M211" s="40">
        <f t="shared" si="7"/>
        <v>0</v>
      </c>
      <c r="N211" s="38" t="str">
        <f ca="1">IF(M211="","",IF(M211="","",IF(OR(IFERROR(INDEX('Calibration Schedule'!J:J,MATCH(B211,'Calibration Schedule'!C:C,0)),"")="Sent for calibration",IFERROR(INDEX('Calibration Schedule'!J:J,MATCH(B211,'Calibration Schedule'!C:C,0)),"")="Scheduled for calibration"),IFERROR(INDEX('Calibration Schedule'!J:J,MATCH(B211,'Calibration Schedule'!C:C,0)),""),IF(M211&lt;TODAY(),"Expired",IF(M211&lt;=TODAY()+30,"Expiring Soon","Pass")))))</f>
        <v>Expired</v>
      </c>
      <c r="O211" s="43"/>
      <c r="P211" s="42"/>
      <c r="Q211" s="42"/>
      <c r="R211" s="52"/>
    </row>
    <row r="212" spans="1:18">
      <c r="A212" s="38">
        <f t="shared" si="6"/>
        <v>209</v>
      </c>
      <c r="B212" s="39" t="s">
        <v>534</v>
      </c>
      <c r="C212" s="38" t="s">
        <v>509</v>
      </c>
      <c r="D212" s="38"/>
      <c r="E212" s="39" t="s">
        <v>593</v>
      </c>
      <c r="F212" s="39"/>
      <c r="G212" s="39"/>
      <c r="H212" s="10"/>
      <c r="I212" s="36" t="s">
        <v>567</v>
      </c>
      <c r="J212" s="38"/>
      <c r="K212" s="38"/>
      <c r="L212" s="40"/>
      <c r="M212" s="40">
        <f t="shared" si="7"/>
        <v>0</v>
      </c>
      <c r="N212" s="38" t="str">
        <f ca="1">IF(M212="","",IF(M212="","",IF(OR(IFERROR(INDEX('Calibration Schedule'!J:J,MATCH(B212,'Calibration Schedule'!C:C,0)),"")="Sent for calibration",IFERROR(INDEX('Calibration Schedule'!J:J,MATCH(B212,'Calibration Schedule'!C:C,0)),"")="Scheduled for calibration"),IFERROR(INDEX('Calibration Schedule'!J:J,MATCH(B212,'Calibration Schedule'!C:C,0)),""),IF(M212&lt;TODAY(),"Expired",IF(M212&lt;=TODAY()+30,"Expiring Soon","Pass")))))</f>
        <v>Expired</v>
      </c>
      <c r="O212" s="10"/>
      <c r="P212" s="38"/>
      <c r="Q212" s="38"/>
      <c r="R212" s="52"/>
    </row>
    <row r="213" spans="1:18">
      <c r="A213" s="38">
        <f t="shared" si="6"/>
        <v>210</v>
      </c>
      <c r="B213" s="41" t="s">
        <v>535</v>
      </c>
      <c r="C213" s="42" t="s">
        <v>594</v>
      </c>
      <c r="D213" s="42"/>
      <c r="E213" s="41" t="s">
        <v>595</v>
      </c>
      <c r="F213" s="41"/>
      <c r="G213" s="41"/>
      <c r="H213" s="43"/>
      <c r="I213" s="36" t="s">
        <v>567</v>
      </c>
      <c r="J213" s="42"/>
      <c r="K213" s="42"/>
      <c r="L213" s="44"/>
      <c r="M213" s="40">
        <f t="shared" si="7"/>
        <v>0</v>
      </c>
      <c r="N213" s="38" t="str">
        <f ca="1">IF(M213="","",IF(M213="","",IF(OR(IFERROR(INDEX('Calibration Schedule'!J:J,MATCH(B213,'Calibration Schedule'!C:C,0)),"")="Sent for calibration",IFERROR(INDEX('Calibration Schedule'!J:J,MATCH(B213,'Calibration Schedule'!C:C,0)),"")="Scheduled for calibration"),IFERROR(INDEX('Calibration Schedule'!J:J,MATCH(B213,'Calibration Schedule'!C:C,0)),""),IF(M213&lt;TODAY(),"Expired",IF(M213&lt;=TODAY()+30,"Expiring Soon","Pass")))))</f>
        <v>Expired</v>
      </c>
      <c r="O213" s="43"/>
      <c r="P213" s="42"/>
      <c r="Q213" s="42"/>
      <c r="R213" s="52"/>
    </row>
    <row r="214" spans="1:18">
      <c r="A214" s="38">
        <f t="shared" si="6"/>
        <v>211</v>
      </c>
      <c r="B214" s="39" t="s">
        <v>536</v>
      </c>
      <c r="C214" s="38" t="s">
        <v>509</v>
      </c>
      <c r="D214" s="38"/>
      <c r="E214" s="39" t="s">
        <v>596</v>
      </c>
      <c r="F214" s="39"/>
      <c r="G214" s="39"/>
      <c r="H214" s="10"/>
      <c r="I214" s="36" t="s">
        <v>567</v>
      </c>
      <c r="J214" s="38"/>
      <c r="K214" s="38"/>
      <c r="L214" s="40"/>
      <c r="M214" s="40">
        <f t="shared" si="7"/>
        <v>0</v>
      </c>
      <c r="N214" s="38" t="str">
        <f ca="1">IF(M214="","",IF(M214="","",IF(OR(IFERROR(INDEX('Calibration Schedule'!J:J,MATCH(B214,'Calibration Schedule'!C:C,0)),"")="Sent for calibration",IFERROR(INDEX('Calibration Schedule'!J:J,MATCH(B214,'Calibration Schedule'!C:C,0)),"")="Scheduled for calibration"),IFERROR(INDEX('Calibration Schedule'!J:J,MATCH(B214,'Calibration Schedule'!C:C,0)),""),IF(M214&lt;TODAY(),"Expired",IF(M214&lt;=TODAY()+30,"Expiring Soon","Pass")))))</f>
        <v>Expired</v>
      </c>
      <c r="O214" s="10"/>
      <c r="P214" s="38"/>
      <c r="Q214" s="38"/>
      <c r="R214" s="52"/>
    </row>
    <row r="215" spans="1:18">
      <c r="A215" s="38">
        <f t="shared" si="6"/>
        <v>212</v>
      </c>
      <c r="B215" s="41" t="s">
        <v>537</v>
      </c>
      <c r="C215" s="42" t="s">
        <v>509</v>
      </c>
      <c r="D215" s="42"/>
      <c r="E215" s="41" t="s">
        <v>593</v>
      </c>
      <c r="F215" s="41"/>
      <c r="G215" s="41"/>
      <c r="H215" s="43"/>
      <c r="I215" s="36" t="s">
        <v>567</v>
      </c>
      <c r="J215" s="42"/>
      <c r="K215" s="42"/>
      <c r="L215" s="44"/>
      <c r="M215" s="40">
        <f t="shared" si="7"/>
        <v>0</v>
      </c>
      <c r="N215" s="38" t="str">
        <f ca="1">IF(M215="","",IF(M215="","",IF(OR(IFERROR(INDEX('Calibration Schedule'!J:J,MATCH(B215,'Calibration Schedule'!C:C,0)),"")="Sent for calibration",IFERROR(INDEX('Calibration Schedule'!J:J,MATCH(B215,'Calibration Schedule'!C:C,0)),"")="Scheduled for calibration"),IFERROR(INDEX('Calibration Schedule'!J:J,MATCH(B215,'Calibration Schedule'!C:C,0)),""),IF(M215&lt;TODAY(),"Expired",IF(M215&lt;=TODAY()+30,"Expiring Soon","Pass")))))</f>
        <v>Expired</v>
      </c>
      <c r="O215" s="43"/>
      <c r="P215" s="42"/>
      <c r="Q215" s="42"/>
      <c r="R215" s="52"/>
    </row>
    <row r="216" spans="1:18">
      <c r="A216" s="38">
        <f t="shared" si="6"/>
        <v>213</v>
      </c>
      <c r="B216" s="39" t="s">
        <v>538</v>
      </c>
      <c r="C216" s="38" t="s">
        <v>509</v>
      </c>
      <c r="D216" s="38"/>
      <c r="E216" s="39" t="s">
        <v>597</v>
      </c>
      <c r="F216" s="39"/>
      <c r="G216" s="39"/>
      <c r="H216" s="10"/>
      <c r="I216" s="36" t="s">
        <v>567</v>
      </c>
      <c r="J216" s="38"/>
      <c r="K216" s="38"/>
      <c r="L216" s="40"/>
      <c r="M216" s="40">
        <f t="shared" si="7"/>
        <v>0</v>
      </c>
      <c r="N216" s="38" t="str">
        <f ca="1">IF(M216="","",IF(M216="","",IF(OR(IFERROR(INDEX('Calibration Schedule'!J:J,MATCH(B216,'Calibration Schedule'!C:C,0)),"")="Sent for calibration",IFERROR(INDEX('Calibration Schedule'!J:J,MATCH(B216,'Calibration Schedule'!C:C,0)),"")="Scheduled for calibration"),IFERROR(INDEX('Calibration Schedule'!J:J,MATCH(B216,'Calibration Schedule'!C:C,0)),""),IF(M216&lt;TODAY(),"Expired",IF(M216&lt;=TODAY()+30,"Expiring Soon","Pass")))))</f>
        <v>Expired</v>
      </c>
      <c r="O216" s="10"/>
      <c r="P216" s="38"/>
      <c r="Q216" s="38"/>
      <c r="R216" s="52"/>
    </row>
    <row r="217" spans="1:18">
      <c r="A217" s="38">
        <f t="shared" si="6"/>
        <v>214</v>
      </c>
      <c r="B217" s="41" t="s">
        <v>539</v>
      </c>
      <c r="C217" s="42" t="s">
        <v>509</v>
      </c>
      <c r="D217" s="42"/>
      <c r="E217" s="41" t="s">
        <v>598</v>
      </c>
      <c r="F217" s="41"/>
      <c r="G217" s="41"/>
      <c r="H217" s="43"/>
      <c r="I217" s="36" t="s">
        <v>567</v>
      </c>
      <c r="J217" s="42"/>
      <c r="K217" s="42"/>
      <c r="L217" s="44"/>
      <c r="M217" s="40">
        <f t="shared" si="7"/>
        <v>0</v>
      </c>
      <c r="N217" s="38" t="str">
        <f ca="1">IF(M217="","",IF(M217="","",IF(OR(IFERROR(INDEX('Calibration Schedule'!J:J,MATCH(B217,'Calibration Schedule'!C:C,0)),"")="Sent for calibration",IFERROR(INDEX('Calibration Schedule'!J:J,MATCH(B217,'Calibration Schedule'!C:C,0)),"")="Scheduled for calibration"),IFERROR(INDEX('Calibration Schedule'!J:J,MATCH(B217,'Calibration Schedule'!C:C,0)),""),IF(M217&lt;TODAY(),"Expired",IF(M217&lt;=TODAY()+30,"Expiring Soon","Pass")))))</f>
        <v>Expired</v>
      </c>
      <c r="O217" s="43"/>
      <c r="P217" s="42"/>
      <c r="Q217" s="42"/>
      <c r="R217" s="52"/>
    </row>
    <row r="218" spans="1:18">
      <c r="A218" s="38">
        <f t="shared" si="6"/>
        <v>215</v>
      </c>
      <c r="B218" s="39" t="s">
        <v>540</v>
      </c>
      <c r="C218" s="38" t="s">
        <v>509</v>
      </c>
      <c r="D218" s="38"/>
      <c r="E218" s="39" t="s">
        <v>589</v>
      </c>
      <c r="F218" s="39"/>
      <c r="G218" s="39"/>
      <c r="H218" s="10"/>
      <c r="I218" s="36" t="s">
        <v>567</v>
      </c>
      <c r="J218" s="38"/>
      <c r="K218" s="38"/>
      <c r="L218" s="40"/>
      <c r="M218" s="40">
        <f t="shared" si="7"/>
        <v>0</v>
      </c>
      <c r="N218" s="38" t="str">
        <f ca="1">IF(M218="","",IF(M218="","",IF(OR(IFERROR(INDEX('Calibration Schedule'!J:J,MATCH(B218,'Calibration Schedule'!C:C,0)),"")="Sent for calibration",IFERROR(INDEX('Calibration Schedule'!J:J,MATCH(B218,'Calibration Schedule'!C:C,0)),"")="Scheduled for calibration"),IFERROR(INDEX('Calibration Schedule'!J:J,MATCH(B218,'Calibration Schedule'!C:C,0)),""),IF(M218&lt;TODAY(),"Expired",IF(M218&lt;=TODAY()+30,"Expiring Soon","Pass")))))</f>
        <v>Expired</v>
      </c>
      <c r="O218" s="10"/>
      <c r="P218" s="38"/>
      <c r="Q218" s="38"/>
      <c r="R218" s="52"/>
    </row>
    <row r="219" spans="1:18">
      <c r="A219" s="38">
        <f t="shared" si="6"/>
        <v>216</v>
      </c>
      <c r="B219" s="41" t="s">
        <v>541</v>
      </c>
      <c r="C219" s="42" t="s">
        <v>509</v>
      </c>
      <c r="D219" s="42"/>
      <c r="E219" s="41" t="s">
        <v>596</v>
      </c>
      <c r="F219" s="41"/>
      <c r="G219" s="41"/>
      <c r="H219" s="43"/>
      <c r="I219" s="36" t="s">
        <v>567</v>
      </c>
      <c r="J219" s="42"/>
      <c r="K219" s="42"/>
      <c r="L219" s="44"/>
      <c r="M219" s="40">
        <f t="shared" si="7"/>
        <v>0</v>
      </c>
      <c r="N219" s="38" t="str">
        <f ca="1">IF(M219="","",IF(M219="","",IF(OR(IFERROR(INDEX('Calibration Schedule'!J:J,MATCH(B219,'Calibration Schedule'!C:C,0)),"")="Sent for calibration",IFERROR(INDEX('Calibration Schedule'!J:J,MATCH(B219,'Calibration Schedule'!C:C,0)),"")="Scheduled for calibration"),IFERROR(INDEX('Calibration Schedule'!J:J,MATCH(B219,'Calibration Schedule'!C:C,0)),""),IF(M219&lt;TODAY(),"Expired",IF(M219&lt;=TODAY()+30,"Expiring Soon","Pass")))))</f>
        <v>Expired</v>
      </c>
      <c r="O219" s="43"/>
      <c r="P219" s="42"/>
      <c r="Q219" s="42"/>
      <c r="R219" s="52"/>
    </row>
    <row r="220" spans="1:18">
      <c r="A220" s="38">
        <f t="shared" si="6"/>
        <v>217</v>
      </c>
      <c r="B220" s="39" t="s">
        <v>542</v>
      </c>
      <c r="C220" s="38" t="s">
        <v>509</v>
      </c>
      <c r="D220" s="38"/>
      <c r="E220" s="39" t="s">
        <v>599</v>
      </c>
      <c r="F220" s="39"/>
      <c r="G220" s="39"/>
      <c r="H220" s="10"/>
      <c r="I220" s="36" t="s">
        <v>567</v>
      </c>
      <c r="J220" s="38"/>
      <c r="K220" s="38"/>
      <c r="L220" s="40"/>
      <c r="M220" s="40">
        <f t="shared" si="7"/>
        <v>0</v>
      </c>
      <c r="N220" s="38" t="str">
        <f ca="1">IF(M220="","",IF(M220="","",IF(OR(IFERROR(INDEX('Calibration Schedule'!J:J,MATCH(B220,'Calibration Schedule'!C:C,0)),"")="Sent for calibration",IFERROR(INDEX('Calibration Schedule'!J:J,MATCH(B220,'Calibration Schedule'!C:C,0)),"")="Scheduled for calibration"),IFERROR(INDEX('Calibration Schedule'!J:J,MATCH(B220,'Calibration Schedule'!C:C,0)),""),IF(M220&lt;TODAY(),"Expired",IF(M220&lt;=TODAY()+30,"Expiring Soon","Pass")))))</f>
        <v>Expired</v>
      </c>
      <c r="O220" s="10"/>
      <c r="P220" s="38"/>
      <c r="Q220" s="38"/>
      <c r="R220" s="52"/>
    </row>
    <row r="221" spans="1:18">
      <c r="A221" s="38">
        <f t="shared" si="6"/>
        <v>218</v>
      </c>
      <c r="B221" s="41" t="s">
        <v>543</v>
      </c>
      <c r="C221" s="42" t="s">
        <v>509</v>
      </c>
      <c r="D221" s="42"/>
      <c r="E221" s="41" t="s">
        <v>600</v>
      </c>
      <c r="F221" s="41"/>
      <c r="G221" s="41"/>
      <c r="H221" s="43"/>
      <c r="I221" s="36" t="s">
        <v>567</v>
      </c>
      <c r="J221" s="42"/>
      <c r="K221" s="42"/>
      <c r="L221" s="44"/>
      <c r="M221" s="40">
        <f t="shared" si="7"/>
        <v>0</v>
      </c>
      <c r="N221" s="38" t="str">
        <f ca="1">IF(M221="","",IF(M221="","",IF(OR(IFERROR(INDEX('Calibration Schedule'!J:J,MATCH(B221,'Calibration Schedule'!C:C,0)),"")="Sent for calibration",IFERROR(INDEX('Calibration Schedule'!J:J,MATCH(B221,'Calibration Schedule'!C:C,0)),"")="Scheduled for calibration"),IFERROR(INDEX('Calibration Schedule'!J:J,MATCH(B221,'Calibration Schedule'!C:C,0)),""),IF(M221&lt;TODAY(),"Expired",IF(M221&lt;=TODAY()+30,"Expiring Soon","Pass")))))</f>
        <v>Expired</v>
      </c>
      <c r="O221" s="43"/>
      <c r="P221" s="42"/>
      <c r="Q221" s="42"/>
      <c r="R221" s="52"/>
    </row>
    <row r="222" spans="1:18">
      <c r="A222" s="38">
        <f t="shared" si="6"/>
        <v>219</v>
      </c>
      <c r="B222" s="39" t="s">
        <v>544</v>
      </c>
      <c r="C222" s="38" t="s">
        <v>509</v>
      </c>
      <c r="D222" s="38"/>
      <c r="E222" s="39" t="s">
        <v>601</v>
      </c>
      <c r="F222" s="39"/>
      <c r="G222" s="39"/>
      <c r="H222" s="10"/>
      <c r="I222" s="36" t="s">
        <v>567</v>
      </c>
      <c r="J222" s="38"/>
      <c r="K222" s="38"/>
      <c r="L222" s="40"/>
      <c r="M222" s="40">
        <f t="shared" si="7"/>
        <v>0</v>
      </c>
      <c r="N222" s="38" t="str">
        <f ca="1">IF(M222="","",IF(M222="","",IF(OR(IFERROR(INDEX('Calibration Schedule'!J:J,MATCH(B222,'Calibration Schedule'!C:C,0)),"")="Sent for calibration",IFERROR(INDEX('Calibration Schedule'!J:J,MATCH(B222,'Calibration Schedule'!C:C,0)),"")="Scheduled for calibration"),IFERROR(INDEX('Calibration Schedule'!J:J,MATCH(B222,'Calibration Schedule'!C:C,0)),""),IF(M222&lt;TODAY(),"Expired",IF(M222&lt;=TODAY()+30,"Expiring Soon","Pass")))))</f>
        <v>Expired</v>
      </c>
      <c r="O222" s="10"/>
      <c r="P222" s="38"/>
      <c r="Q222" s="38"/>
      <c r="R222" s="52"/>
    </row>
    <row r="223" spans="1:18">
      <c r="A223" s="38">
        <f t="shared" si="6"/>
        <v>220</v>
      </c>
      <c r="B223" s="41" t="s">
        <v>545</v>
      </c>
      <c r="C223" s="42" t="s">
        <v>509</v>
      </c>
      <c r="D223" s="42"/>
      <c r="E223" s="41" t="s">
        <v>581</v>
      </c>
      <c r="F223" s="41"/>
      <c r="G223" s="41"/>
      <c r="H223" s="43"/>
      <c r="I223" s="36" t="s">
        <v>567</v>
      </c>
      <c r="J223" s="42"/>
      <c r="K223" s="42"/>
      <c r="L223" s="44"/>
      <c r="M223" s="40">
        <f t="shared" si="7"/>
        <v>0</v>
      </c>
      <c r="N223" s="38" t="str">
        <f ca="1">IF(M223="","",IF(M223="","",IF(OR(IFERROR(INDEX('Calibration Schedule'!J:J,MATCH(B223,'Calibration Schedule'!C:C,0)),"")="Sent for calibration",IFERROR(INDEX('Calibration Schedule'!J:J,MATCH(B223,'Calibration Schedule'!C:C,0)),"")="Scheduled for calibration"),IFERROR(INDEX('Calibration Schedule'!J:J,MATCH(B223,'Calibration Schedule'!C:C,0)),""),IF(M223&lt;TODAY(),"Expired",IF(M223&lt;=TODAY()+30,"Expiring Soon","Pass")))))</f>
        <v>Expired</v>
      </c>
      <c r="O223" s="43"/>
      <c r="P223" s="42"/>
      <c r="Q223" s="42"/>
      <c r="R223" s="52"/>
    </row>
    <row r="224" spans="1:18">
      <c r="A224" s="38">
        <f t="shared" si="6"/>
        <v>221</v>
      </c>
      <c r="B224" s="39" t="s">
        <v>546</v>
      </c>
      <c r="C224" s="38" t="s">
        <v>509</v>
      </c>
      <c r="D224" s="38"/>
      <c r="E224" s="39" t="s">
        <v>602</v>
      </c>
      <c r="F224" s="39"/>
      <c r="G224" s="39"/>
      <c r="H224" s="10"/>
      <c r="I224" s="36" t="s">
        <v>567</v>
      </c>
      <c r="J224" s="38"/>
      <c r="K224" s="38"/>
      <c r="L224" s="40"/>
      <c r="M224" s="40">
        <f t="shared" si="7"/>
        <v>0</v>
      </c>
      <c r="N224" s="38" t="str">
        <f ca="1">IF(M224="","",IF(M224="","",IF(OR(IFERROR(INDEX('Calibration Schedule'!J:J,MATCH(B224,'Calibration Schedule'!C:C,0)),"")="Sent for calibration",IFERROR(INDEX('Calibration Schedule'!J:J,MATCH(B224,'Calibration Schedule'!C:C,0)),"")="Scheduled for calibration"),IFERROR(INDEX('Calibration Schedule'!J:J,MATCH(B224,'Calibration Schedule'!C:C,0)),""),IF(M224&lt;TODAY(),"Expired",IF(M224&lt;=TODAY()+30,"Expiring Soon","Pass")))))</f>
        <v>Expired</v>
      </c>
      <c r="O224" s="10"/>
      <c r="P224" s="38"/>
      <c r="Q224" s="38"/>
      <c r="R224" s="52"/>
    </row>
    <row r="225" spans="1:18">
      <c r="A225" s="38">
        <f t="shared" si="6"/>
        <v>222</v>
      </c>
      <c r="B225" s="41" t="s">
        <v>547</v>
      </c>
      <c r="C225" s="42" t="s">
        <v>509</v>
      </c>
      <c r="D225" s="42"/>
      <c r="E225" s="41" t="s">
        <v>603</v>
      </c>
      <c r="F225" s="41"/>
      <c r="G225" s="41"/>
      <c r="H225" s="43"/>
      <c r="I225" s="36" t="s">
        <v>567</v>
      </c>
      <c r="J225" s="42"/>
      <c r="K225" s="42"/>
      <c r="L225" s="44"/>
      <c r="M225" s="40">
        <f t="shared" si="7"/>
        <v>0</v>
      </c>
      <c r="N225" s="38" t="str">
        <f ca="1">IF(M225="","",IF(M225="","",IF(OR(IFERROR(INDEX('Calibration Schedule'!J:J,MATCH(B225,'Calibration Schedule'!C:C,0)),"")="Sent for calibration",IFERROR(INDEX('Calibration Schedule'!J:J,MATCH(B225,'Calibration Schedule'!C:C,0)),"")="Scheduled for calibration"),IFERROR(INDEX('Calibration Schedule'!J:J,MATCH(B225,'Calibration Schedule'!C:C,0)),""),IF(M225&lt;TODAY(),"Expired",IF(M225&lt;=TODAY()+30,"Expiring Soon","Pass")))))</f>
        <v>Expired</v>
      </c>
      <c r="O225" s="43"/>
      <c r="P225" s="42"/>
      <c r="Q225" s="42"/>
      <c r="R225" s="52"/>
    </row>
    <row r="226" spans="1:18">
      <c r="A226" s="38">
        <f t="shared" si="6"/>
        <v>223</v>
      </c>
      <c r="B226" s="39" t="s">
        <v>548</v>
      </c>
      <c r="C226" s="38" t="s">
        <v>509</v>
      </c>
      <c r="D226" s="38"/>
      <c r="E226" s="39" t="s">
        <v>604</v>
      </c>
      <c r="F226" s="39"/>
      <c r="G226" s="39"/>
      <c r="H226" s="10"/>
      <c r="I226" s="36" t="s">
        <v>567</v>
      </c>
      <c r="J226" s="38"/>
      <c r="K226" s="38"/>
      <c r="L226" s="40"/>
      <c r="M226" s="40">
        <f t="shared" si="7"/>
        <v>0</v>
      </c>
      <c r="N226" s="38" t="str">
        <f ca="1">IF(M226="","",IF(M226="","",IF(OR(IFERROR(INDEX('Calibration Schedule'!J:J,MATCH(B226,'Calibration Schedule'!C:C,0)),"")="Sent for calibration",IFERROR(INDEX('Calibration Schedule'!J:J,MATCH(B226,'Calibration Schedule'!C:C,0)),"")="Scheduled for calibration"),IFERROR(INDEX('Calibration Schedule'!J:J,MATCH(B226,'Calibration Schedule'!C:C,0)),""),IF(M226&lt;TODAY(),"Expired",IF(M226&lt;=TODAY()+30,"Expiring Soon","Pass")))))</f>
        <v>Expired</v>
      </c>
      <c r="O226" s="10"/>
      <c r="P226" s="38"/>
      <c r="Q226" s="38"/>
      <c r="R226" s="52"/>
    </row>
    <row r="227" spans="1:18">
      <c r="A227" s="38">
        <f t="shared" si="6"/>
        <v>224</v>
      </c>
      <c r="B227" s="41" t="s">
        <v>549</v>
      </c>
      <c r="C227" s="42" t="s">
        <v>579</v>
      </c>
      <c r="D227" s="42"/>
      <c r="E227" s="41" t="s">
        <v>605</v>
      </c>
      <c r="F227" s="41"/>
      <c r="G227" s="41"/>
      <c r="H227" s="43"/>
      <c r="I227" s="36" t="s">
        <v>567</v>
      </c>
      <c r="J227" s="42"/>
      <c r="K227" s="42"/>
      <c r="L227" s="44"/>
      <c r="M227" s="40">
        <f t="shared" si="7"/>
        <v>0</v>
      </c>
      <c r="N227" s="38" t="str">
        <f ca="1">IF(M227="","",IF(M227="","",IF(OR(IFERROR(INDEX('Calibration Schedule'!J:J,MATCH(B227,'Calibration Schedule'!C:C,0)),"")="Sent for calibration",IFERROR(INDEX('Calibration Schedule'!J:J,MATCH(B227,'Calibration Schedule'!C:C,0)),"")="Scheduled for calibration"),IFERROR(INDEX('Calibration Schedule'!J:J,MATCH(B227,'Calibration Schedule'!C:C,0)),""),IF(M227&lt;TODAY(),"Expired",IF(M227&lt;=TODAY()+30,"Expiring Soon","Pass")))))</f>
        <v>Expired</v>
      </c>
      <c r="O227" s="43"/>
      <c r="P227" s="42"/>
      <c r="Q227" s="42"/>
      <c r="R227" s="52"/>
    </row>
    <row r="228" spans="1:18">
      <c r="A228" s="38">
        <f t="shared" si="6"/>
        <v>225</v>
      </c>
      <c r="B228" s="39" t="s">
        <v>550</v>
      </c>
      <c r="C228" s="38" t="s">
        <v>509</v>
      </c>
      <c r="D228" s="38"/>
      <c r="E228" s="39" t="s">
        <v>606</v>
      </c>
      <c r="F228" s="39"/>
      <c r="G228" s="39"/>
      <c r="H228" s="10"/>
      <c r="I228" s="36" t="s">
        <v>567</v>
      </c>
      <c r="J228" s="38"/>
      <c r="K228" s="38"/>
      <c r="L228" s="40"/>
      <c r="M228" s="40">
        <f t="shared" si="7"/>
        <v>0</v>
      </c>
      <c r="N228" s="38" t="str">
        <f ca="1">IF(M228="","",IF(M228="","",IF(OR(IFERROR(INDEX('Calibration Schedule'!J:J,MATCH(B228,'Calibration Schedule'!C:C,0)),"")="Sent for calibration",IFERROR(INDEX('Calibration Schedule'!J:J,MATCH(B228,'Calibration Schedule'!C:C,0)),"")="Scheduled for calibration"),IFERROR(INDEX('Calibration Schedule'!J:J,MATCH(B228,'Calibration Schedule'!C:C,0)),""),IF(M228&lt;TODAY(),"Expired",IF(M228&lt;=TODAY()+30,"Expiring Soon","Pass")))))</f>
        <v>Expired</v>
      </c>
      <c r="O228" s="10"/>
      <c r="P228" s="38"/>
      <c r="Q228" s="38"/>
      <c r="R228" s="52"/>
    </row>
    <row r="229" spans="1:18">
      <c r="A229" s="38">
        <f t="shared" si="6"/>
        <v>226</v>
      </c>
      <c r="B229" s="41" t="s">
        <v>551</v>
      </c>
      <c r="C229" s="42" t="s">
        <v>585</v>
      </c>
      <c r="D229" s="42"/>
      <c r="E229" s="41"/>
      <c r="F229" s="41"/>
      <c r="G229" s="41"/>
      <c r="H229" s="43"/>
      <c r="I229" s="36" t="s">
        <v>567</v>
      </c>
      <c r="J229" s="42"/>
      <c r="K229" s="42"/>
      <c r="L229" s="44"/>
      <c r="M229" s="40">
        <f t="shared" si="7"/>
        <v>0</v>
      </c>
      <c r="N229" s="38" t="str">
        <f ca="1">IF(M229="","",IF(M229="","",IF(OR(IFERROR(INDEX('Calibration Schedule'!J:J,MATCH(B229,'Calibration Schedule'!C:C,0)),"")="Sent for calibration",IFERROR(INDEX('Calibration Schedule'!J:J,MATCH(B229,'Calibration Schedule'!C:C,0)),"")="Scheduled for calibration"),IFERROR(INDEX('Calibration Schedule'!J:J,MATCH(B229,'Calibration Schedule'!C:C,0)),""),IF(M229&lt;TODAY(),"Expired",IF(M229&lt;=TODAY()+30,"Expiring Soon","Pass")))))</f>
        <v>Expired</v>
      </c>
      <c r="O229" s="43"/>
      <c r="P229" s="42"/>
      <c r="Q229" s="42"/>
      <c r="R229" s="52"/>
    </row>
    <row r="230" spans="1:18">
      <c r="A230" s="38">
        <f t="shared" si="6"/>
        <v>227</v>
      </c>
      <c r="B230" s="39" t="s">
        <v>552</v>
      </c>
      <c r="C230" s="38" t="s">
        <v>509</v>
      </c>
      <c r="D230" s="38"/>
      <c r="E230" s="39" t="s">
        <v>607</v>
      </c>
      <c r="F230" s="39"/>
      <c r="G230" s="39"/>
      <c r="H230" s="10"/>
      <c r="I230" s="36" t="s">
        <v>567</v>
      </c>
      <c r="J230" s="38"/>
      <c r="K230" s="38"/>
      <c r="L230" s="40"/>
      <c r="M230" s="40">
        <f t="shared" si="7"/>
        <v>0</v>
      </c>
      <c r="N230" s="38" t="str">
        <f ca="1">IF(M230="","",IF(M230="","",IF(OR(IFERROR(INDEX('Calibration Schedule'!J:J,MATCH(B230,'Calibration Schedule'!C:C,0)),"")="Sent for calibration",IFERROR(INDEX('Calibration Schedule'!J:J,MATCH(B230,'Calibration Schedule'!C:C,0)),"")="Scheduled for calibration"),IFERROR(INDEX('Calibration Schedule'!J:J,MATCH(B230,'Calibration Schedule'!C:C,0)),""),IF(M230&lt;TODAY(),"Expired",IF(M230&lt;=TODAY()+30,"Expiring Soon","Pass")))))</f>
        <v>Expired</v>
      </c>
      <c r="O230" s="10"/>
      <c r="P230" s="38"/>
      <c r="Q230" s="38"/>
      <c r="R230" s="52"/>
    </row>
    <row r="231" spans="1:18">
      <c r="A231" s="38">
        <f t="shared" si="6"/>
        <v>228</v>
      </c>
      <c r="B231" s="41" t="s">
        <v>553</v>
      </c>
      <c r="C231" s="42" t="s">
        <v>509</v>
      </c>
      <c r="D231" s="42"/>
      <c r="E231" s="41" t="s">
        <v>581</v>
      </c>
      <c r="F231" s="41"/>
      <c r="G231" s="41"/>
      <c r="H231" s="43"/>
      <c r="I231" s="36" t="s">
        <v>567</v>
      </c>
      <c r="J231" s="42"/>
      <c r="K231" s="42"/>
      <c r="L231" s="44"/>
      <c r="M231" s="40">
        <f t="shared" si="7"/>
        <v>0</v>
      </c>
      <c r="N231" s="38" t="str">
        <f ca="1">IF(M231="","",IF(M231="","",IF(OR(IFERROR(INDEX('Calibration Schedule'!J:J,MATCH(B231,'Calibration Schedule'!C:C,0)),"")="Sent for calibration",IFERROR(INDEX('Calibration Schedule'!J:J,MATCH(B231,'Calibration Schedule'!C:C,0)),"")="Scheduled for calibration"),IFERROR(INDEX('Calibration Schedule'!J:J,MATCH(B231,'Calibration Schedule'!C:C,0)),""),IF(M231&lt;TODAY(),"Expired",IF(M231&lt;=TODAY()+30,"Expiring Soon","Pass")))))</f>
        <v>Expired</v>
      </c>
      <c r="O231" s="43"/>
      <c r="P231" s="42"/>
      <c r="Q231" s="42"/>
      <c r="R231" s="52"/>
    </row>
    <row r="232" spans="1:18">
      <c r="A232" s="38">
        <f t="shared" si="6"/>
        <v>229</v>
      </c>
      <c r="B232" s="39" t="s">
        <v>554</v>
      </c>
      <c r="C232" s="38" t="s">
        <v>608</v>
      </c>
      <c r="D232" s="38"/>
      <c r="E232" s="39" t="s">
        <v>609</v>
      </c>
      <c r="F232" s="39"/>
      <c r="G232" s="39"/>
      <c r="H232" s="10"/>
      <c r="I232" s="36" t="s">
        <v>567</v>
      </c>
      <c r="J232" s="38"/>
      <c r="K232" s="38"/>
      <c r="L232" s="40"/>
      <c r="M232" s="40">
        <f t="shared" si="7"/>
        <v>0</v>
      </c>
      <c r="N232" s="38" t="str">
        <f ca="1">IF(M232="","",IF(M232="","",IF(OR(IFERROR(INDEX('Calibration Schedule'!J:J,MATCH(B232,'Calibration Schedule'!C:C,0)),"")="Sent for calibration",IFERROR(INDEX('Calibration Schedule'!J:J,MATCH(B232,'Calibration Schedule'!C:C,0)),"")="Scheduled for calibration"),IFERROR(INDEX('Calibration Schedule'!J:J,MATCH(B232,'Calibration Schedule'!C:C,0)),""),IF(M232&lt;TODAY(),"Expired",IF(M232&lt;=TODAY()+30,"Expiring Soon","Pass")))))</f>
        <v>Expired</v>
      </c>
      <c r="O232" s="10"/>
      <c r="P232" s="38"/>
      <c r="Q232" s="38"/>
      <c r="R232" s="52"/>
    </row>
    <row r="233" spans="1:18">
      <c r="A233" s="38">
        <f t="shared" si="6"/>
        <v>230</v>
      </c>
      <c r="B233" s="41" t="s">
        <v>555</v>
      </c>
      <c r="C233" s="42" t="s">
        <v>610</v>
      </c>
      <c r="D233" s="42"/>
      <c r="E233" s="41" t="s">
        <v>595</v>
      </c>
      <c r="F233" s="41"/>
      <c r="G233" s="41"/>
      <c r="H233" s="43"/>
      <c r="I233" s="36" t="s">
        <v>567</v>
      </c>
      <c r="J233" s="42"/>
      <c r="K233" s="42"/>
      <c r="L233" s="44"/>
      <c r="M233" s="40">
        <f t="shared" si="7"/>
        <v>0</v>
      </c>
      <c r="N233" s="38" t="str">
        <f ca="1">IF(M233="","",IF(M233="","",IF(OR(IFERROR(INDEX('Calibration Schedule'!J:J,MATCH(B233,'Calibration Schedule'!C:C,0)),"")="Sent for calibration",IFERROR(INDEX('Calibration Schedule'!J:J,MATCH(B233,'Calibration Schedule'!C:C,0)),"")="Scheduled for calibration"),IFERROR(INDEX('Calibration Schedule'!J:J,MATCH(B233,'Calibration Schedule'!C:C,0)),""),IF(M233&lt;TODAY(),"Expired",IF(M233&lt;=TODAY()+30,"Expiring Soon","Pass")))))</f>
        <v>Expired</v>
      </c>
      <c r="O233" s="43"/>
      <c r="P233" s="42"/>
      <c r="Q233" s="42"/>
      <c r="R233" s="52"/>
    </row>
    <row r="234" spans="1:18">
      <c r="A234" s="38">
        <f t="shared" si="6"/>
        <v>231</v>
      </c>
      <c r="B234" s="39" t="s">
        <v>556</v>
      </c>
      <c r="C234" s="38" t="s">
        <v>509</v>
      </c>
      <c r="D234" s="38"/>
      <c r="E234" s="39" t="s">
        <v>611</v>
      </c>
      <c r="F234" s="39"/>
      <c r="G234" s="39"/>
      <c r="H234" s="10"/>
      <c r="I234" s="36" t="s">
        <v>567</v>
      </c>
      <c r="J234" s="38"/>
      <c r="K234" s="38"/>
      <c r="L234" s="40"/>
      <c r="M234" s="40">
        <f t="shared" si="7"/>
        <v>0</v>
      </c>
      <c r="N234" s="38" t="str">
        <f ca="1">IF(M234="","",IF(M234="","",IF(OR(IFERROR(INDEX('Calibration Schedule'!J:J,MATCH(B234,'Calibration Schedule'!C:C,0)),"")="Sent for calibration",IFERROR(INDEX('Calibration Schedule'!J:J,MATCH(B234,'Calibration Schedule'!C:C,0)),"")="Scheduled for calibration"),IFERROR(INDEX('Calibration Schedule'!J:J,MATCH(B234,'Calibration Schedule'!C:C,0)),""),IF(M234&lt;TODAY(),"Expired",IF(M234&lt;=TODAY()+30,"Expiring Soon","Pass")))))</f>
        <v>Expired</v>
      </c>
      <c r="O234" s="10"/>
      <c r="P234" s="38"/>
      <c r="Q234" s="38"/>
      <c r="R234" s="52"/>
    </row>
    <row r="235" spans="1:18">
      <c r="A235" s="38">
        <f t="shared" si="6"/>
        <v>232</v>
      </c>
      <c r="B235" s="41" t="s">
        <v>557</v>
      </c>
      <c r="C235" s="42" t="s">
        <v>509</v>
      </c>
      <c r="D235" s="42"/>
      <c r="E235" s="41" t="s">
        <v>619</v>
      </c>
      <c r="F235" s="41"/>
      <c r="G235" s="41"/>
      <c r="H235" s="43"/>
      <c r="I235" s="36" t="s">
        <v>567</v>
      </c>
      <c r="J235" s="42"/>
      <c r="K235" s="42"/>
      <c r="L235" s="44"/>
      <c r="M235" s="40">
        <f t="shared" si="7"/>
        <v>0</v>
      </c>
      <c r="N235" s="38" t="str">
        <f ca="1">IF(M235="","",IF(M235="","",IF(OR(IFERROR(INDEX('Calibration Schedule'!J:J,MATCH(B235,'Calibration Schedule'!C:C,0)),"")="Sent for calibration",IFERROR(INDEX('Calibration Schedule'!J:J,MATCH(B235,'Calibration Schedule'!C:C,0)),"")="Scheduled for calibration"),IFERROR(INDEX('Calibration Schedule'!J:J,MATCH(B235,'Calibration Schedule'!C:C,0)),""),IF(M235&lt;TODAY(),"Expired",IF(M235&lt;=TODAY()+30,"Expiring Soon","Pass")))))</f>
        <v>Expired</v>
      </c>
      <c r="O235" s="43"/>
      <c r="P235" s="42"/>
      <c r="Q235" s="42"/>
      <c r="R235" s="52"/>
    </row>
    <row r="236" spans="1:18">
      <c r="A236" s="38">
        <f t="shared" si="6"/>
        <v>233</v>
      </c>
      <c r="B236" s="39" t="s">
        <v>558</v>
      </c>
      <c r="C236" s="38" t="s">
        <v>509</v>
      </c>
      <c r="D236" s="38"/>
      <c r="E236" s="39" t="s">
        <v>618</v>
      </c>
      <c r="F236" s="39"/>
      <c r="G236" s="39"/>
      <c r="H236" s="10"/>
      <c r="I236" s="36" t="s">
        <v>567</v>
      </c>
      <c r="J236" s="38"/>
      <c r="K236" s="38"/>
      <c r="L236" s="40"/>
      <c r="M236" s="40">
        <f t="shared" si="7"/>
        <v>0</v>
      </c>
      <c r="N236" s="38" t="str">
        <f ca="1">IF(M236="","",IF(M236="","",IF(OR(IFERROR(INDEX('Calibration Schedule'!J:J,MATCH(B236,'Calibration Schedule'!C:C,0)),"")="Sent for calibration",IFERROR(INDEX('Calibration Schedule'!J:J,MATCH(B236,'Calibration Schedule'!C:C,0)),"")="Scheduled for calibration"),IFERROR(INDEX('Calibration Schedule'!J:J,MATCH(B236,'Calibration Schedule'!C:C,0)),""),IF(M236&lt;TODAY(),"Expired",IF(M236&lt;=TODAY()+30,"Expiring Soon","Pass")))))</f>
        <v>Expired</v>
      </c>
      <c r="O236" s="10"/>
      <c r="P236" s="38"/>
      <c r="Q236" s="38"/>
      <c r="R236" s="52"/>
    </row>
    <row r="237" spans="1:18">
      <c r="A237" s="38">
        <f t="shared" si="6"/>
        <v>234</v>
      </c>
      <c r="B237" s="41" t="s">
        <v>559</v>
      </c>
      <c r="C237" s="42" t="s">
        <v>573</v>
      </c>
      <c r="D237" s="42"/>
      <c r="E237" s="41" t="s">
        <v>612</v>
      </c>
      <c r="F237" s="41"/>
      <c r="G237" s="41"/>
      <c r="H237" s="43"/>
      <c r="I237" s="36" t="s">
        <v>567</v>
      </c>
      <c r="J237" s="42"/>
      <c r="K237" s="42"/>
      <c r="L237" s="44"/>
      <c r="M237" s="40">
        <f t="shared" si="7"/>
        <v>0</v>
      </c>
      <c r="N237" s="38" t="str">
        <f ca="1">IF(M237="","",IF(M237="","",IF(OR(IFERROR(INDEX('Calibration Schedule'!J:J,MATCH(B237,'Calibration Schedule'!C:C,0)),"")="Sent for calibration",IFERROR(INDEX('Calibration Schedule'!J:J,MATCH(B237,'Calibration Schedule'!C:C,0)),"")="Scheduled for calibration"),IFERROR(INDEX('Calibration Schedule'!J:J,MATCH(B237,'Calibration Schedule'!C:C,0)),""),IF(M237&lt;TODAY(),"Expired",IF(M237&lt;=TODAY()+30,"Expiring Soon","Pass")))))</f>
        <v>Expired</v>
      </c>
      <c r="O237" s="43"/>
      <c r="P237" s="42"/>
      <c r="Q237" s="42"/>
      <c r="R237" s="52"/>
    </row>
    <row r="238" spans="1:18">
      <c r="A238" s="38">
        <f t="shared" si="6"/>
        <v>235</v>
      </c>
      <c r="B238" s="39" t="s">
        <v>560</v>
      </c>
      <c r="C238" s="38" t="s">
        <v>509</v>
      </c>
      <c r="D238" s="38"/>
      <c r="E238" s="39" t="s">
        <v>569</v>
      </c>
      <c r="F238" s="39"/>
      <c r="G238" s="39"/>
      <c r="H238" s="10"/>
      <c r="I238" s="36" t="s">
        <v>567</v>
      </c>
      <c r="J238" s="38"/>
      <c r="K238" s="38"/>
      <c r="L238" s="40"/>
      <c r="M238" s="40">
        <f t="shared" si="7"/>
        <v>0</v>
      </c>
      <c r="N238" s="38" t="str">
        <f ca="1">IF(M238="","",IF(M238="","",IF(OR(IFERROR(INDEX('Calibration Schedule'!J:J,MATCH(B238,'Calibration Schedule'!C:C,0)),"")="Sent for calibration",IFERROR(INDEX('Calibration Schedule'!J:J,MATCH(B238,'Calibration Schedule'!C:C,0)),"")="Scheduled for calibration"),IFERROR(INDEX('Calibration Schedule'!J:J,MATCH(B238,'Calibration Schedule'!C:C,0)),""),IF(M238&lt;TODAY(),"Expired",IF(M238&lt;=TODAY()+30,"Expiring Soon","Pass")))))</f>
        <v>Expired</v>
      </c>
      <c r="O238" s="10"/>
      <c r="P238" s="38"/>
      <c r="Q238" s="38"/>
      <c r="R238" s="52"/>
    </row>
    <row r="239" spans="1:18">
      <c r="A239" s="38">
        <f t="shared" si="6"/>
        <v>236</v>
      </c>
      <c r="B239" s="41" t="s">
        <v>561</v>
      </c>
      <c r="C239" s="42" t="s">
        <v>509</v>
      </c>
      <c r="D239" s="42"/>
      <c r="E239" s="41" t="s">
        <v>615</v>
      </c>
      <c r="F239" s="41"/>
      <c r="G239" s="41"/>
      <c r="H239" s="43"/>
      <c r="I239" s="36" t="s">
        <v>567</v>
      </c>
      <c r="J239" s="42"/>
      <c r="K239" s="42"/>
      <c r="L239" s="44"/>
      <c r="M239" s="40">
        <f t="shared" si="7"/>
        <v>0</v>
      </c>
      <c r="N239" s="38" t="str">
        <f ca="1">IF(M239="","",IF(M239="","",IF(OR(IFERROR(INDEX('Calibration Schedule'!J:J,MATCH(B239,'Calibration Schedule'!C:C,0)),"")="Sent for calibration",IFERROR(INDEX('Calibration Schedule'!J:J,MATCH(B239,'Calibration Schedule'!C:C,0)),"")="Scheduled for calibration"),IFERROR(INDEX('Calibration Schedule'!J:J,MATCH(B239,'Calibration Schedule'!C:C,0)),""),IF(M239&lt;TODAY(),"Expired",IF(M239&lt;=TODAY()+30,"Expiring Soon","Pass")))))</f>
        <v>Expired</v>
      </c>
      <c r="O239" s="43"/>
      <c r="P239" s="42"/>
      <c r="Q239" s="42"/>
      <c r="R239" s="52"/>
    </row>
    <row r="240" spans="1:18">
      <c r="A240" s="38">
        <f t="shared" si="6"/>
        <v>237</v>
      </c>
      <c r="B240" s="39" t="s">
        <v>562</v>
      </c>
      <c r="C240" s="38" t="s">
        <v>509</v>
      </c>
      <c r="D240" s="38"/>
      <c r="E240" s="39" t="s">
        <v>618</v>
      </c>
      <c r="F240" s="39"/>
      <c r="G240" s="39"/>
      <c r="H240" s="10"/>
      <c r="I240" s="36" t="s">
        <v>567</v>
      </c>
      <c r="J240" s="38"/>
      <c r="K240" s="38"/>
      <c r="L240" s="40"/>
      <c r="M240" s="40">
        <f t="shared" si="7"/>
        <v>0</v>
      </c>
      <c r="N240" s="38" t="str">
        <f ca="1">IF(M240="","",IF(M240="","",IF(OR(IFERROR(INDEX('Calibration Schedule'!J:J,MATCH(B240,'Calibration Schedule'!C:C,0)),"")="Sent for calibration",IFERROR(INDEX('Calibration Schedule'!J:J,MATCH(B240,'Calibration Schedule'!C:C,0)),"")="Scheduled for calibration"),IFERROR(INDEX('Calibration Schedule'!J:J,MATCH(B240,'Calibration Schedule'!C:C,0)),""),IF(M240&lt;TODAY(),"Expired",IF(M240&lt;=TODAY()+30,"Expiring Soon","Pass")))))</f>
        <v>Expired</v>
      </c>
      <c r="O240" s="10"/>
      <c r="P240" s="38"/>
      <c r="Q240" s="38"/>
      <c r="R240" s="52"/>
    </row>
    <row r="241" spans="1:18">
      <c r="A241" s="38">
        <f t="shared" si="6"/>
        <v>238</v>
      </c>
      <c r="B241" s="41" t="s">
        <v>563</v>
      </c>
      <c r="C241" s="42" t="s">
        <v>509</v>
      </c>
      <c r="D241" s="42"/>
      <c r="E241" s="41" t="s">
        <v>617</v>
      </c>
      <c r="F241" s="41"/>
      <c r="G241" s="41"/>
      <c r="H241" s="43"/>
      <c r="I241" s="36" t="s">
        <v>567</v>
      </c>
      <c r="J241" s="42"/>
      <c r="K241" s="42"/>
      <c r="L241" s="44"/>
      <c r="M241" s="40">
        <f t="shared" si="7"/>
        <v>0</v>
      </c>
      <c r="N241" s="38" t="str">
        <f ca="1">IF(M241="","",IF(M241="","",IF(OR(IFERROR(INDEX('Calibration Schedule'!J:J,MATCH(B241,'Calibration Schedule'!C:C,0)),"")="Sent for calibration",IFERROR(INDEX('Calibration Schedule'!J:J,MATCH(B241,'Calibration Schedule'!C:C,0)),"")="Scheduled for calibration"),IFERROR(INDEX('Calibration Schedule'!J:J,MATCH(B241,'Calibration Schedule'!C:C,0)),""),IF(M241&lt;TODAY(),"Expired",IF(M241&lt;=TODAY()+30,"Expiring Soon","Pass")))))</f>
        <v>Expired</v>
      </c>
      <c r="O241" s="43"/>
      <c r="P241" s="42"/>
      <c r="Q241" s="42"/>
      <c r="R241" s="52"/>
    </row>
    <row r="242" spans="1:18">
      <c r="A242" s="38">
        <f t="shared" si="6"/>
        <v>239</v>
      </c>
      <c r="B242" s="39" t="s">
        <v>564</v>
      </c>
      <c r="C242" s="38" t="s">
        <v>610</v>
      </c>
      <c r="D242" s="38"/>
      <c r="E242" s="39" t="s">
        <v>616</v>
      </c>
      <c r="F242" s="39"/>
      <c r="G242" s="39"/>
      <c r="H242" s="10"/>
      <c r="I242" s="36" t="s">
        <v>567</v>
      </c>
      <c r="J242" s="38"/>
      <c r="K242" s="38"/>
      <c r="L242" s="40"/>
      <c r="M242" s="40">
        <f t="shared" si="7"/>
        <v>0</v>
      </c>
      <c r="N242" s="38" t="str">
        <f ca="1">IF(M242="","",IF(M242="","",IF(OR(IFERROR(INDEX('Calibration Schedule'!J:J,MATCH(B242,'Calibration Schedule'!C:C,0)),"")="Sent for calibration",IFERROR(INDEX('Calibration Schedule'!J:J,MATCH(B242,'Calibration Schedule'!C:C,0)),"")="Scheduled for calibration"),IFERROR(INDEX('Calibration Schedule'!J:J,MATCH(B242,'Calibration Schedule'!C:C,0)),""),IF(M242&lt;TODAY(),"Expired",IF(M242&lt;=TODAY()+30,"Expiring Soon","Pass")))))</f>
        <v>Expired</v>
      </c>
      <c r="O242" s="10"/>
      <c r="P242" s="38"/>
      <c r="Q242" s="38"/>
      <c r="R242" s="52"/>
    </row>
    <row r="243" spans="1:18">
      <c r="A243" s="38">
        <f t="shared" si="6"/>
        <v>240</v>
      </c>
      <c r="B243" s="41" t="s">
        <v>565</v>
      </c>
      <c r="C243" s="42" t="s">
        <v>509</v>
      </c>
      <c r="D243" s="42"/>
      <c r="E243" s="41" t="s">
        <v>613</v>
      </c>
      <c r="F243" s="41"/>
      <c r="G243" s="41"/>
      <c r="H243" s="43"/>
      <c r="I243" s="36" t="s">
        <v>567</v>
      </c>
      <c r="J243" s="42"/>
      <c r="K243" s="42"/>
      <c r="L243" s="44"/>
      <c r="M243" s="40">
        <f t="shared" si="7"/>
        <v>0</v>
      </c>
      <c r="N243" s="38" t="str">
        <f ca="1">IF(M243="","",IF(M243="","",IF(OR(IFERROR(INDEX('Calibration Schedule'!J:J,MATCH(B243,'Calibration Schedule'!C:C,0)),"")="Sent for calibration",IFERROR(INDEX('Calibration Schedule'!J:J,MATCH(B243,'Calibration Schedule'!C:C,0)),"")="Scheduled for calibration"),IFERROR(INDEX('Calibration Schedule'!J:J,MATCH(B243,'Calibration Schedule'!C:C,0)),""),IF(M243&lt;TODAY(),"Expired",IF(M243&lt;=TODAY()+30,"Expiring Soon","Pass")))))</f>
        <v>Expired</v>
      </c>
      <c r="O243" s="43"/>
      <c r="P243" s="42"/>
      <c r="Q243" s="42"/>
      <c r="R243" s="52"/>
    </row>
    <row r="244" spans="1:18">
      <c r="A244" s="38">
        <f t="shared" si="6"/>
        <v>241</v>
      </c>
      <c r="B244" s="39" t="s">
        <v>566</v>
      </c>
      <c r="C244" s="38" t="s">
        <v>509</v>
      </c>
      <c r="D244" s="38"/>
      <c r="E244" s="39" t="s">
        <v>614</v>
      </c>
      <c r="F244" s="39"/>
      <c r="G244" s="39"/>
      <c r="H244" s="10"/>
      <c r="I244" s="36" t="s">
        <v>567</v>
      </c>
      <c r="J244" s="38"/>
      <c r="K244" s="38"/>
      <c r="L244" s="40"/>
      <c r="M244" s="40">
        <f t="shared" si="7"/>
        <v>0</v>
      </c>
      <c r="N244" s="38" t="str">
        <f ca="1">IF(M244="","",IF(M244="","",IF(OR(IFERROR(INDEX('Calibration Schedule'!J:J,MATCH(B244,'Calibration Schedule'!C:C,0)),"")="Sent for calibration",IFERROR(INDEX('Calibration Schedule'!J:J,MATCH(B244,'Calibration Schedule'!C:C,0)),"")="Scheduled for calibration"),IFERROR(INDEX('Calibration Schedule'!J:J,MATCH(B244,'Calibration Schedule'!C:C,0)),""),IF(M244&lt;TODAY(),"Expired",IF(M244&lt;=TODAY()+30,"Expiring Soon","Pass")))))</f>
        <v>Expired</v>
      </c>
      <c r="O244" s="10"/>
      <c r="P244" s="38"/>
      <c r="Q244" s="38"/>
      <c r="R244" s="52"/>
    </row>
    <row r="245" spans="1:18">
      <c r="A245" s="38">
        <f t="shared" si="6"/>
        <v>242</v>
      </c>
      <c r="B245" s="41" t="s">
        <v>620</v>
      </c>
      <c r="C245" s="42" t="s">
        <v>382</v>
      </c>
      <c r="D245" s="42"/>
      <c r="E245" s="41" t="s">
        <v>621</v>
      </c>
      <c r="F245" s="41"/>
      <c r="G245" s="41"/>
      <c r="H245" s="43"/>
      <c r="I245" s="42" t="s">
        <v>137</v>
      </c>
      <c r="J245" s="42"/>
      <c r="K245" s="42"/>
      <c r="L245" s="44"/>
      <c r="M245" s="40">
        <f t="shared" si="7"/>
        <v>0</v>
      </c>
      <c r="N245" s="38" t="str">
        <f ca="1">IF(M245="","",IF(M245="","",IF(OR(IFERROR(INDEX('Calibration Schedule'!J:J,MATCH(B245,'Calibration Schedule'!C:C,0)),"")="Sent for calibration",IFERROR(INDEX('Calibration Schedule'!J:J,MATCH(B245,'Calibration Schedule'!C:C,0)),"")="Scheduled for calibration"),IFERROR(INDEX('Calibration Schedule'!J:J,MATCH(B245,'Calibration Schedule'!C:C,0)),""),IF(M245&lt;TODAY(),"Expired",IF(M245&lt;=TODAY()+30,"Expiring Soon","Pass")))))</f>
        <v>Expired</v>
      </c>
      <c r="O245" s="43"/>
      <c r="P245" s="42"/>
      <c r="Q245" s="42" t="s">
        <v>191</v>
      </c>
      <c r="R245" s="52"/>
    </row>
    <row r="246" spans="1:18">
      <c r="A246" s="38">
        <f t="shared" si="6"/>
        <v>243</v>
      </c>
      <c r="B246" s="39" t="s">
        <v>622</v>
      </c>
      <c r="C246" s="38" t="s">
        <v>382</v>
      </c>
      <c r="D246" s="38"/>
      <c r="E246" s="39" t="s">
        <v>595</v>
      </c>
      <c r="F246" s="39"/>
      <c r="G246" s="39"/>
      <c r="H246" s="10"/>
      <c r="I246" s="38" t="s">
        <v>391</v>
      </c>
      <c r="J246" s="38"/>
      <c r="K246" s="38"/>
      <c r="L246" s="40"/>
      <c r="M246" s="40">
        <f t="shared" si="7"/>
        <v>0</v>
      </c>
      <c r="N246" s="38" t="str">
        <f ca="1">IF(M246="","",IF(M246="","",IF(OR(IFERROR(INDEX('Calibration Schedule'!J:J,MATCH(B246,'Calibration Schedule'!C:C,0)),"")="Sent for calibration",IFERROR(INDEX('Calibration Schedule'!J:J,MATCH(B246,'Calibration Schedule'!C:C,0)),"")="Scheduled for calibration"),IFERROR(INDEX('Calibration Schedule'!J:J,MATCH(B246,'Calibration Schedule'!C:C,0)),""),IF(M246&lt;TODAY(),"Expired",IF(M246&lt;=TODAY()+30,"Expiring Soon","Pass")))))</f>
        <v>Expired</v>
      </c>
      <c r="O246" s="10"/>
      <c r="P246" s="38"/>
      <c r="Q246" s="38"/>
      <c r="R246" s="52"/>
    </row>
    <row r="247" spans="1:18">
      <c r="A247" s="38">
        <f t="shared" si="6"/>
        <v>244</v>
      </c>
      <c r="B247" s="41" t="s">
        <v>394</v>
      </c>
      <c r="C247" s="42" t="s">
        <v>382</v>
      </c>
      <c r="D247" s="42"/>
      <c r="E247" s="41" t="s">
        <v>589</v>
      </c>
      <c r="F247" s="41"/>
      <c r="G247" s="41"/>
      <c r="H247" s="43"/>
      <c r="I247" s="38" t="s">
        <v>391</v>
      </c>
      <c r="J247" s="42"/>
      <c r="K247" s="42"/>
      <c r="L247" s="44"/>
      <c r="M247" s="40">
        <f t="shared" si="7"/>
        <v>0</v>
      </c>
      <c r="N247" s="38" t="str">
        <f ca="1">IF(M247="","",IF(M247="","",IF(OR(IFERROR(INDEX('Calibration Schedule'!J:J,MATCH(B247,'Calibration Schedule'!C:C,0)),"")="Sent for calibration",IFERROR(INDEX('Calibration Schedule'!J:J,MATCH(B247,'Calibration Schedule'!C:C,0)),"")="Scheduled for calibration"),IFERROR(INDEX('Calibration Schedule'!J:J,MATCH(B247,'Calibration Schedule'!C:C,0)),""),IF(M247&lt;TODAY(),"Expired",IF(M247&lt;=TODAY()+30,"Expiring Soon","Pass")))))</f>
        <v>Expired</v>
      </c>
      <c r="O247" s="43"/>
      <c r="P247" s="42"/>
      <c r="Q247" s="42"/>
      <c r="R247" s="52"/>
    </row>
    <row r="248" spans="1:18">
      <c r="A248" s="38" t="str">
        <f t="shared" si="6"/>
        <v/>
      </c>
      <c r="B248" s="39"/>
      <c r="C248" s="38"/>
      <c r="D248" s="38"/>
      <c r="E248" s="39"/>
      <c r="F248" s="39"/>
      <c r="G248" s="39"/>
      <c r="H248" s="10"/>
      <c r="I248" s="38"/>
      <c r="J248" s="38"/>
      <c r="K248" s="38"/>
      <c r="L248" s="40"/>
      <c r="M248" s="40" t="str">
        <f t="shared" si="7"/>
        <v/>
      </c>
      <c r="N248" s="38" t="str">
        <f ca="1">IF(M248="","",IF(M248="","",IF(OR(IFERROR(INDEX('Calibration Schedule'!J:J,MATCH(B248,'Calibration Schedule'!C:C,0)),"")="Sent for calibration",IFERROR(INDEX('Calibration Schedule'!J:J,MATCH(B248,'Calibration Schedule'!C:C,0)),"")="Scheduled for calibration"),IFERROR(INDEX('Calibration Schedule'!J:J,MATCH(B248,'Calibration Schedule'!C:C,0)),""),IF(M248&lt;TODAY(),"Expired",IF(M248&lt;=TODAY()+30,"Expiring Soon","Pass")))))</f>
        <v/>
      </c>
      <c r="O248" s="10"/>
      <c r="P248" s="38"/>
      <c r="Q248" s="38"/>
      <c r="R248" s="52"/>
    </row>
    <row r="249" spans="1:18">
      <c r="A249" s="38" t="str">
        <f t="shared" si="6"/>
        <v/>
      </c>
      <c r="B249" s="41"/>
      <c r="C249" s="42"/>
      <c r="D249" s="42"/>
      <c r="E249" s="41"/>
      <c r="F249" s="41"/>
      <c r="G249" s="41"/>
      <c r="H249" s="43"/>
      <c r="I249" s="42"/>
      <c r="J249" s="42"/>
      <c r="K249" s="42"/>
      <c r="L249" s="44"/>
      <c r="M249" s="40" t="str">
        <f t="shared" si="7"/>
        <v/>
      </c>
      <c r="N249" s="38" t="str">
        <f ca="1">IF(M249="","",IF(M249="","",IF(OR(IFERROR(INDEX('Calibration Schedule'!J:J,MATCH(B249,'Calibration Schedule'!C:C,0)),"")="Sent for calibration",IFERROR(INDEX('Calibration Schedule'!J:J,MATCH(B249,'Calibration Schedule'!C:C,0)),"")="Scheduled for calibration"),IFERROR(INDEX('Calibration Schedule'!J:J,MATCH(B249,'Calibration Schedule'!C:C,0)),""),IF(M249&lt;TODAY(),"Expired",IF(M249&lt;=TODAY()+30,"Expiring Soon","Pass")))))</f>
        <v/>
      </c>
      <c r="O249" s="43"/>
      <c r="P249" s="42"/>
      <c r="Q249" s="42"/>
      <c r="R249" s="52"/>
    </row>
    <row r="250" spans="1:18">
      <c r="A250" s="38" t="str">
        <f t="shared" si="6"/>
        <v/>
      </c>
      <c r="B250" s="39"/>
      <c r="C250" s="38"/>
      <c r="D250" s="38"/>
      <c r="E250" s="39"/>
      <c r="F250" s="39"/>
      <c r="G250" s="39"/>
      <c r="H250" s="10"/>
      <c r="I250" s="38"/>
      <c r="J250" s="38"/>
      <c r="K250" s="38"/>
      <c r="L250" s="40"/>
      <c r="M250" s="40" t="str">
        <f t="shared" si="7"/>
        <v/>
      </c>
      <c r="N250" s="38" t="str">
        <f ca="1">IF(M250="","",IF(M250="","",IF(OR(IFERROR(INDEX('Calibration Schedule'!J:J,MATCH(B250,'Calibration Schedule'!C:C,0)),"")="Sent for calibration",IFERROR(INDEX('Calibration Schedule'!J:J,MATCH(B250,'Calibration Schedule'!C:C,0)),"")="Scheduled for calibration"),IFERROR(INDEX('Calibration Schedule'!J:J,MATCH(B250,'Calibration Schedule'!C:C,0)),""),IF(M250&lt;TODAY(),"Expired",IF(M250&lt;=TODAY()+30,"Expiring Soon","Pass")))))</f>
        <v/>
      </c>
      <c r="O250" s="10"/>
      <c r="P250" s="38"/>
      <c r="Q250" s="38"/>
      <c r="R250" s="52"/>
    </row>
    <row r="251" spans="1:18">
      <c r="A251" s="38" t="str">
        <f t="shared" si="6"/>
        <v/>
      </c>
      <c r="B251" s="41"/>
      <c r="C251" s="42"/>
      <c r="D251" s="42"/>
      <c r="E251" s="41"/>
      <c r="F251" s="41"/>
      <c r="G251" s="41"/>
      <c r="H251" s="43"/>
      <c r="I251" s="42"/>
      <c r="J251" s="42"/>
      <c r="K251" s="42"/>
      <c r="L251" s="44"/>
      <c r="M251" s="40" t="str">
        <f t="shared" si="7"/>
        <v/>
      </c>
      <c r="N251" s="38" t="str">
        <f ca="1">IF(M251="","",IF(M251="","",IF(OR(IFERROR(INDEX('Calibration Schedule'!J:J,MATCH(B251,'Calibration Schedule'!C:C,0)),"")="Sent for calibration",IFERROR(INDEX('Calibration Schedule'!J:J,MATCH(B251,'Calibration Schedule'!C:C,0)),"")="Scheduled for calibration"),IFERROR(INDEX('Calibration Schedule'!J:J,MATCH(B251,'Calibration Schedule'!C:C,0)),""),IF(M251&lt;TODAY(),"Expired",IF(M251&lt;=TODAY()+30,"Expiring Soon","Pass")))))</f>
        <v/>
      </c>
      <c r="O251" s="43"/>
      <c r="P251" s="42"/>
      <c r="Q251" s="42"/>
      <c r="R251" s="52"/>
    </row>
    <row r="252" spans="1:18">
      <c r="A252" s="38" t="str">
        <f t="shared" si="6"/>
        <v/>
      </c>
      <c r="B252" s="39"/>
      <c r="C252" s="38"/>
      <c r="D252" s="38"/>
      <c r="E252" s="39"/>
      <c r="F252" s="39"/>
      <c r="G252" s="39"/>
      <c r="H252" s="10"/>
      <c r="I252" s="38"/>
      <c r="J252" s="38"/>
      <c r="K252" s="38"/>
      <c r="L252" s="40"/>
      <c r="M252" s="40" t="str">
        <f t="shared" si="7"/>
        <v/>
      </c>
      <c r="N252" s="38" t="str">
        <f ca="1">IF(M252="","",IF(M252="","",IF(OR(IFERROR(INDEX('Calibration Schedule'!J:J,MATCH(B252,'Calibration Schedule'!C:C,0)),"")="Sent for calibration",IFERROR(INDEX('Calibration Schedule'!J:J,MATCH(B252,'Calibration Schedule'!C:C,0)),"")="Scheduled for calibration"),IFERROR(INDEX('Calibration Schedule'!J:J,MATCH(B252,'Calibration Schedule'!C:C,0)),""),IF(M252&lt;TODAY(),"Expired",IF(M252&lt;=TODAY()+30,"Expiring Soon","Pass")))))</f>
        <v/>
      </c>
      <c r="O252" s="10"/>
      <c r="P252" s="38"/>
      <c r="Q252" s="38"/>
      <c r="R252" s="52"/>
    </row>
    <row r="253" spans="1:18">
      <c r="A253" s="38" t="str">
        <f t="shared" si="6"/>
        <v/>
      </c>
      <c r="B253" s="41"/>
      <c r="C253" s="42"/>
      <c r="D253" s="42"/>
      <c r="E253" s="41"/>
      <c r="F253" s="41"/>
      <c r="G253" s="41"/>
      <c r="H253" s="43"/>
      <c r="I253" s="42"/>
      <c r="J253" s="42"/>
      <c r="K253" s="42"/>
      <c r="L253" s="44"/>
      <c r="M253" s="40" t="str">
        <f t="shared" si="7"/>
        <v/>
      </c>
      <c r="N253" s="38" t="str">
        <f ca="1">IF(M253="","",IF(M253="","",IF(OR(IFERROR(INDEX('Calibration Schedule'!J:J,MATCH(B253,'Calibration Schedule'!C:C,0)),"")="Sent for calibration",IFERROR(INDEX('Calibration Schedule'!J:J,MATCH(B253,'Calibration Schedule'!C:C,0)),"")="Scheduled for calibration"),IFERROR(INDEX('Calibration Schedule'!J:J,MATCH(B253,'Calibration Schedule'!C:C,0)),""),IF(M253&lt;TODAY(),"Expired",IF(M253&lt;=TODAY()+30,"Expiring Soon","Pass")))))</f>
        <v/>
      </c>
      <c r="O253" s="43"/>
      <c r="P253" s="42"/>
      <c r="Q253" s="42"/>
      <c r="R253" s="52"/>
    </row>
    <row r="254" spans="1:18">
      <c r="A254" s="38" t="str">
        <f t="shared" si="6"/>
        <v/>
      </c>
      <c r="B254" s="39"/>
      <c r="C254" s="38"/>
      <c r="D254" s="38"/>
      <c r="E254" s="39"/>
      <c r="F254" s="39"/>
      <c r="G254" s="39"/>
      <c r="H254" s="10"/>
      <c r="I254" s="38"/>
      <c r="J254" s="38"/>
      <c r="K254" s="38"/>
      <c r="L254" s="40"/>
      <c r="M254" s="40" t="str">
        <f t="shared" si="7"/>
        <v/>
      </c>
      <c r="N254" s="38" t="str">
        <f ca="1">IF(M254="","",IF(M254="","",IF(OR(IFERROR(INDEX('Calibration Schedule'!J:J,MATCH(B254,'Calibration Schedule'!C:C,0)),"")="Sent for calibration",IFERROR(INDEX('Calibration Schedule'!J:J,MATCH(B254,'Calibration Schedule'!C:C,0)),"")="Scheduled for calibration"),IFERROR(INDEX('Calibration Schedule'!J:J,MATCH(B254,'Calibration Schedule'!C:C,0)),""),IF(M254&lt;TODAY(),"Expired",IF(M254&lt;=TODAY()+30,"Expiring Soon","Pass")))))</f>
        <v/>
      </c>
      <c r="O254" s="10"/>
      <c r="P254" s="38"/>
      <c r="Q254" s="38"/>
      <c r="R254" s="52"/>
    </row>
    <row r="255" spans="1:18">
      <c r="A255" s="38" t="str">
        <f t="shared" si="6"/>
        <v/>
      </c>
      <c r="B255" s="41"/>
      <c r="C255" s="42"/>
      <c r="D255" s="42"/>
      <c r="E255" s="41"/>
      <c r="F255" s="41"/>
      <c r="G255" s="41"/>
      <c r="H255" s="43"/>
      <c r="I255" s="42"/>
      <c r="J255" s="42"/>
      <c r="K255" s="42"/>
      <c r="L255" s="44"/>
      <c r="M255" s="40" t="str">
        <f t="shared" si="7"/>
        <v/>
      </c>
      <c r="N255" s="38" t="str">
        <f ca="1">IF(M255="","",IF(M255="","",IF(OR(IFERROR(INDEX('Calibration Schedule'!J:J,MATCH(B255,'Calibration Schedule'!C:C,0)),"")="Sent for calibration",IFERROR(INDEX('Calibration Schedule'!J:J,MATCH(B255,'Calibration Schedule'!C:C,0)),"")="Scheduled for calibration"),IFERROR(INDEX('Calibration Schedule'!J:J,MATCH(B255,'Calibration Schedule'!C:C,0)),""),IF(M255&lt;TODAY(),"Expired",IF(M255&lt;=TODAY()+30,"Expiring Soon","Pass")))))</f>
        <v/>
      </c>
      <c r="O255" s="43"/>
      <c r="P255" s="42"/>
      <c r="Q255" s="42"/>
      <c r="R255" s="52"/>
    </row>
    <row r="256" spans="1:18">
      <c r="A256" s="38" t="str">
        <f t="shared" si="6"/>
        <v/>
      </c>
      <c r="B256" s="39"/>
      <c r="C256" s="38"/>
      <c r="D256" s="38"/>
      <c r="E256" s="39"/>
      <c r="F256" s="39"/>
      <c r="G256" s="39"/>
      <c r="H256" s="10"/>
      <c r="I256" s="38"/>
      <c r="J256" s="38"/>
      <c r="K256" s="38"/>
      <c r="L256" s="40"/>
      <c r="M256" s="40" t="str">
        <f t="shared" si="7"/>
        <v/>
      </c>
      <c r="N256" s="38" t="str">
        <f ca="1">IF(M256="","",IF(M256="","",IF(OR(IFERROR(INDEX('Calibration Schedule'!J:J,MATCH(B256,'Calibration Schedule'!C:C,0)),"")="Sent for calibration",IFERROR(INDEX('Calibration Schedule'!J:J,MATCH(B256,'Calibration Schedule'!C:C,0)),"")="Scheduled for calibration"),IFERROR(INDEX('Calibration Schedule'!J:J,MATCH(B256,'Calibration Schedule'!C:C,0)),""),IF(M256&lt;TODAY(),"Expired",IF(M256&lt;=TODAY()+30,"Expiring Soon","Pass")))))</f>
        <v/>
      </c>
      <c r="O256" s="10"/>
      <c r="P256" s="38"/>
      <c r="Q256" s="38"/>
      <c r="R256" s="52"/>
    </row>
    <row r="257" spans="1:18">
      <c r="A257" s="38" t="str">
        <f t="shared" si="6"/>
        <v/>
      </c>
      <c r="B257" s="41"/>
      <c r="C257" s="42"/>
      <c r="D257" s="42"/>
      <c r="E257" s="41"/>
      <c r="F257" s="41"/>
      <c r="G257" s="41"/>
      <c r="H257" s="43"/>
      <c r="I257" s="42"/>
      <c r="J257" s="42"/>
      <c r="K257" s="42"/>
      <c r="L257" s="44"/>
      <c r="M257" s="40" t="str">
        <f t="shared" si="7"/>
        <v/>
      </c>
      <c r="N257" s="38" t="str">
        <f ca="1">IF(M257="","",IF(M257="","",IF(OR(IFERROR(INDEX('Calibration Schedule'!J:J,MATCH(B257,'Calibration Schedule'!C:C,0)),"")="Sent for calibration",IFERROR(INDEX('Calibration Schedule'!J:J,MATCH(B257,'Calibration Schedule'!C:C,0)),"")="Scheduled for calibration"),IFERROR(INDEX('Calibration Schedule'!J:J,MATCH(B257,'Calibration Schedule'!C:C,0)),""),IF(M257&lt;TODAY(),"Expired",IF(M257&lt;=TODAY()+30,"Expiring Soon","Pass")))))</f>
        <v/>
      </c>
      <c r="O257" s="43"/>
      <c r="P257" s="42"/>
      <c r="Q257" s="42"/>
      <c r="R257" s="52"/>
    </row>
    <row r="258" spans="1:18">
      <c r="A258" s="38" t="str">
        <f t="shared" si="6"/>
        <v/>
      </c>
      <c r="B258" s="39"/>
      <c r="C258" s="38"/>
      <c r="D258" s="38"/>
      <c r="E258" s="39"/>
      <c r="F258" s="39"/>
      <c r="G258" s="39"/>
      <c r="H258" s="10"/>
      <c r="I258" s="38"/>
      <c r="J258" s="38"/>
      <c r="K258" s="38"/>
      <c r="L258" s="40"/>
      <c r="M258" s="40" t="str">
        <f t="shared" si="7"/>
        <v/>
      </c>
      <c r="N258" s="38" t="str">
        <f ca="1">IF(M258="","",IF(M258="","",IF(OR(IFERROR(INDEX('Calibration Schedule'!J:J,MATCH(B258,'Calibration Schedule'!C:C,0)),"")="Sent for calibration",IFERROR(INDEX('Calibration Schedule'!J:J,MATCH(B258,'Calibration Schedule'!C:C,0)),"")="Scheduled for calibration"),IFERROR(INDEX('Calibration Schedule'!J:J,MATCH(B258,'Calibration Schedule'!C:C,0)),""),IF(M258&lt;TODAY(),"Expired",IF(M258&lt;=TODAY()+30,"Expiring Soon","Pass")))))</f>
        <v/>
      </c>
      <c r="O258" s="10"/>
      <c r="P258" s="38"/>
      <c r="Q258" s="38"/>
      <c r="R258" s="52"/>
    </row>
    <row r="259" spans="1:18">
      <c r="A259" s="38" t="str">
        <f t="shared" si="6"/>
        <v/>
      </c>
      <c r="B259" s="41"/>
      <c r="C259" s="42"/>
      <c r="D259" s="42"/>
      <c r="E259" s="41"/>
      <c r="F259" s="41"/>
      <c r="G259" s="41"/>
      <c r="H259" s="43"/>
      <c r="I259" s="42"/>
      <c r="J259" s="42"/>
      <c r="K259" s="42"/>
      <c r="L259" s="44"/>
      <c r="M259" s="40" t="str">
        <f t="shared" si="7"/>
        <v/>
      </c>
      <c r="N259" s="38" t="str">
        <f ca="1">IF(M259="","",IF(M259="","",IF(OR(IFERROR(INDEX('Calibration Schedule'!J:J,MATCH(B259,'Calibration Schedule'!C:C,0)),"")="Sent for calibration",IFERROR(INDEX('Calibration Schedule'!J:J,MATCH(B259,'Calibration Schedule'!C:C,0)),"")="Scheduled for calibration"),IFERROR(INDEX('Calibration Schedule'!J:J,MATCH(B259,'Calibration Schedule'!C:C,0)),""),IF(M259&lt;TODAY(),"Expired",IF(M259&lt;=TODAY()+30,"Expiring Soon","Pass")))))</f>
        <v/>
      </c>
      <c r="O259" s="43"/>
      <c r="P259" s="42"/>
      <c r="Q259" s="42"/>
      <c r="R259" s="52"/>
    </row>
    <row r="260" spans="1:18">
      <c r="A260" s="38" t="str">
        <f t="shared" ref="A260:A323" si="8">IF(B260="","",ROW(B260)-3)</f>
        <v/>
      </c>
      <c r="B260" s="39"/>
      <c r="C260" s="38"/>
      <c r="D260" s="38"/>
      <c r="E260" s="39"/>
      <c r="F260" s="39"/>
      <c r="G260" s="39"/>
      <c r="H260" s="10"/>
      <c r="I260" s="38"/>
      <c r="J260" s="38"/>
      <c r="K260" s="38"/>
      <c r="L260" s="40"/>
      <c r="M260" s="40" t="str">
        <f t="shared" si="7"/>
        <v/>
      </c>
      <c r="N260" s="38" t="str">
        <f ca="1">IF(M260="","",IF(M260="","",IF(OR(IFERROR(INDEX('Calibration Schedule'!J:J,MATCH(B260,'Calibration Schedule'!C:C,0)),"")="Sent for calibration",IFERROR(INDEX('Calibration Schedule'!J:J,MATCH(B260,'Calibration Schedule'!C:C,0)),"")="Scheduled for calibration"),IFERROR(INDEX('Calibration Schedule'!J:J,MATCH(B260,'Calibration Schedule'!C:C,0)),""),IF(M260&lt;TODAY(),"Expired",IF(M260&lt;=TODAY()+30,"Expiring Soon","Pass")))))</f>
        <v/>
      </c>
      <c r="O260" s="10"/>
      <c r="P260" s="38"/>
      <c r="Q260" s="38"/>
      <c r="R260" s="52"/>
    </row>
    <row r="261" spans="1:18">
      <c r="A261" s="38" t="str">
        <f t="shared" si="8"/>
        <v/>
      </c>
      <c r="B261" s="41"/>
      <c r="C261" s="42"/>
      <c r="D261" s="42"/>
      <c r="E261" s="41"/>
      <c r="F261" s="41"/>
      <c r="G261" s="41"/>
      <c r="H261" s="43"/>
      <c r="I261" s="42"/>
      <c r="J261" s="42"/>
      <c r="K261" s="42"/>
      <c r="L261" s="44"/>
      <c r="M261" s="40" t="str">
        <f t="shared" ref="M261:M324" si="9">IF(B261="","",IF(K261="Not Eligible","",IFERROR(EDATE(L261,K261),"")))</f>
        <v/>
      </c>
      <c r="N261" s="38" t="str">
        <f ca="1">IF(M261="","",IF(M261="","",IF(OR(IFERROR(INDEX('Calibration Schedule'!J:J,MATCH(B261,'Calibration Schedule'!C:C,0)),"")="Sent for calibration",IFERROR(INDEX('Calibration Schedule'!J:J,MATCH(B261,'Calibration Schedule'!C:C,0)),"")="Scheduled for calibration"),IFERROR(INDEX('Calibration Schedule'!J:J,MATCH(B261,'Calibration Schedule'!C:C,0)),""),IF(M261&lt;TODAY(),"Expired",IF(M261&lt;=TODAY()+30,"Expiring Soon","Pass")))))</f>
        <v/>
      </c>
      <c r="O261" s="43"/>
      <c r="P261" s="42"/>
      <c r="Q261" s="42"/>
      <c r="R261" s="52"/>
    </row>
    <row r="262" spans="1:18">
      <c r="A262" s="38" t="str">
        <f t="shared" si="8"/>
        <v/>
      </c>
      <c r="B262" s="39"/>
      <c r="C262" s="38"/>
      <c r="D262" s="38"/>
      <c r="E262" s="39"/>
      <c r="F262" s="39"/>
      <c r="G262" s="39"/>
      <c r="H262" s="10"/>
      <c r="I262" s="38"/>
      <c r="J262" s="38"/>
      <c r="K262" s="38"/>
      <c r="L262" s="40"/>
      <c r="M262" s="40" t="str">
        <f t="shared" si="9"/>
        <v/>
      </c>
      <c r="N262" s="38" t="str">
        <f ca="1">IF(M262="","",IF(M262="","",IF(OR(IFERROR(INDEX('Calibration Schedule'!J:J,MATCH(B262,'Calibration Schedule'!C:C,0)),"")="Sent for calibration",IFERROR(INDEX('Calibration Schedule'!J:J,MATCH(B262,'Calibration Schedule'!C:C,0)),"")="Scheduled for calibration"),IFERROR(INDEX('Calibration Schedule'!J:J,MATCH(B262,'Calibration Schedule'!C:C,0)),""),IF(M262&lt;TODAY(),"Expired",IF(M262&lt;=TODAY()+30,"Expiring Soon","Pass")))))</f>
        <v/>
      </c>
      <c r="O262" s="10"/>
      <c r="P262" s="38"/>
      <c r="Q262" s="38"/>
      <c r="R262" s="52"/>
    </row>
    <row r="263" spans="1:18">
      <c r="A263" s="38" t="str">
        <f t="shared" si="8"/>
        <v/>
      </c>
      <c r="B263" s="41"/>
      <c r="C263" s="42"/>
      <c r="D263" s="42"/>
      <c r="E263" s="41"/>
      <c r="F263" s="41"/>
      <c r="G263" s="41"/>
      <c r="H263" s="43"/>
      <c r="I263" s="42"/>
      <c r="J263" s="42"/>
      <c r="K263" s="42"/>
      <c r="L263" s="44"/>
      <c r="M263" s="40" t="str">
        <f t="shared" si="9"/>
        <v/>
      </c>
      <c r="N263" s="38" t="str">
        <f ca="1">IF(M263="","",IF(M263="","",IF(OR(IFERROR(INDEX('Calibration Schedule'!J:J,MATCH(B263,'Calibration Schedule'!C:C,0)),"")="Sent for calibration",IFERROR(INDEX('Calibration Schedule'!J:J,MATCH(B263,'Calibration Schedule'!C:C,0)),"")="Scheduled for calibration"),IFERROR(INDEX('Calibration Schedule'!J:J,MATCH(B263,'Calibration Schedule'!C:C,0)),""),IF(M263&lt;TODAY(),"Expired",IF(M263&lt;=TODAY()+30,"Expiring Soon","Pass")))))</f>
        <v/>
      </c>
      <c r="O263" s="43"/>
      <c r="P263" s="42"/>
      <c r="Q263" s="42"/>
      <c r="R263" s="52"/>
    </row>
    <row r="264" spans="1:18">
      <c r="A264" s="38" t="str">
        <f t="shared" si="8"/>
        <v/>
      </c>
      <c r="B264" s="39"/>
      <c r="C264" s="38"/>
      <c r="D264" s="38"/>
      <c r="E264" s="39"/>
      <c r="F264" s="39"/>
      <c r="G264" s="39"/>
      <c r="H264" s="10"/>
      <c r="I264" s="38"/>
      <c r="J264" s="38"/>
      <c r="K264" s="38"/>
      <c r="L264" s="40"/>
      <c r="M264" s="40" t="str">
        <f t="shared" si="9"/>
        <v/>
      </c>
      <c r="N264" s="38" t="str">
        <f ca="1">IF(M264="","",IF(M264="","",IF(OR(IFERROR(INDEX('Calibration Schedule'!J:J,MATCH(B264,'Calibration Schedule'!C:C,0)),"")="Sent for calibration",IFERROR(INDEX('Calibration Schedule'!J:J,MATCH(B264,'Calibration Schedule'!C:C,0)),"")="Scheduled for calibration"),IFERROR(INDEX('Calibration Schedule'!J:J,MATCH(B264,'Calibration Schedule'!C:C,0)),""),IF(M264&lt;TODAY(),"Expired",IF(M264&lt;=TODAY()+30,"Expiring Soon","Pass")))))</f>
        <v/>
      </c>
      <c r="O264" s="10"/>
      <c r="P264" s="38"/>
      <c r="Q264" s="38"/>
      <c r="R264" s="52"/>
    </row>
    <row r="265" spans="1:18">
      <c r="A265" s="38" t="str">
        <f t="shared" si="8"/>
        <v/>
      </c>
      <c r="B265" s="41"/>
      <c r="C265" s="42"/>
      <c r="D265" s="42"/>
      <c r="E265" s="41"/>
      <c r="F265" s="41"/>
      <c r="G265" s="41"/>
      <c r="H265" s="43"/>
      <c r="I265" s="42"/>
      <c r="J265" s="42"/>
      <c r="K265" s="42"/>
      <c r="L265" s="44"/>
      <c r="M265" s="40" t="str">
        <f t="shared" si="9"/>
        <v/>
      </c>
      <c r="N265" s="38" t="str">
        <f ca="1">IF(M265="","",IF(M265="","",IF(OR(IFERROR(INDEX('Calibration Schedule'!J:J,MATCH(B265,'Calibration Schedule'!C:C,0)),"")="Sent for calibration",IFERROR(INDEX('Calibration Schedule'!J:J,MATCH(B265,'Calibration Schedule'!C:C,0)),"")="Scheduled for calibration"),IFERROR(INDEX('Calibration Schedule'!J:J,MATCH(B265,'Calibration Schedule'!C:C,0)),""),IF(M265&lt;TODAY(),"Expired",IF(M265&lt;=TODAY()+30,"Expiring Soon","Pass")))))</f>
        <v/>
      </c>
      <c r="O265" s="43"/>
      <c r="P265" s="42"/>
      <c r="Q265" s="42"/>
      <c r="R265" s="52"/>
    </row>
    <row r="266" spans="1:18">
      <c r="A266" s="38" t="str">
        <f t="shared" si="8"/>
        <v/>
      </c>
      <c r="B266" s="39"/>
      <c r="C266" s="38"/>
      <c r="D266" s="38"/>
      <c r="E266" s="39"/>
      <c r="F266" s="39"/>
      <c r="G266" s="39"/>
      <c r="H266" s="10"/>
      <c r="I266" s="38"/>
      <c r="J266" s="38"/>
      <c r="K266" s="38"/>
      <c r="L266" s="40"/>
      <c r="M266" s="40" t="str">
        <f t="shared" si="9"/>
        <v/>
      </c>
      <c r="N266" s="38" t="str">
        <f ca="1">IF(M266="","",IF(M266="","",IF(OR(IFERROR(INDEX('Calibration Schedule'!J:J,MATCH(B266,'Calibration Schedule'!C:C,0)),"")="Sent for calibration",IFERROR(INDEX('Calibration Schedule'!J:J,MATCH(B266,'Calibration Schedule'!C:C,0)),"")="Scheduled for calibration"),IFERROR(INDEX('Calibration Schedule'!J:J,MATCH(B266,'Calibration Schedule'!C:C,0)),""),IF(M266&lt;TODAY(),"Expired",IF(M266&lt;=TODAY()+30,"Expiring Soon","Pass")))))</f>
        <v/>
      </c>
      <c r="O266" s="10"/>
      <c r="P266" s="38"/>
      <c r="Q266" s="38"/>
      <c r="R266" s="52"/>
    </row>
    <row r="267" spans="1:18">
      <c r="A267" s="38" t="str">
        <f t="shared" si="8"/>
        <v/>
      </c>
      <c r="B267" s="41"/>
      <c r="C267" s="42"/>
      <c r="D267" s="42"/>
      <c r="E267" s="41"/>
      <c r="F267" s="41"/>
      <c r="G267" s="41"/>
      <c r="H267" s="43"/>
      <c r="I267" s="42"/>
      <c r="J267" s="42"/>
      <c r="K267" s="42"/>
      <c r="L267" s="44"/>
      <c r="M267" s="40" t="str">
        <f t="shared" si="9"/>
        <v/>
      </c>
      <c r="N267" s="38" t="str">
        <f ca="1">IF(M267="","",IF(M267="","",IF(OR(IFERROR(INDEX('Calibration Schedule'!J:J,MATCH(B267,'Calibration Schedule'!C:C,0)),"")="Sent for calibration",IFERROR(INDEX('Calibration Schedule'!J:J,MATCH(B267,'Calibration Schedule'!C:C,0)),"")="Scheduled for calibration"),IFERROR(INDEX('Calibration Schedule'!J:J,MATCH(B267,'Calibration Schedule'!C:C,0)),""),IF(M267&lt;TODAY(),"Expired",IF(M267&lt;=TODAY()+30,"Expiring Soon","Pass")))))</f>
        <v/>
      </c>
      <c r="O267" s="43"/>
      <c r="P267" s="42"/>
      <c r="Q267" s="42"/>
      <c r="R267" s="52"/>
    </row>
    <row r="268" spans="1:18">
      <c r="A268" s="38" t="str">
        <f t="shared" si="8"/>
        <v/>
      </c>
      <c r="B268" s="39"/>
      <c r="C268" s="38"/>
      <c r="D268" s="38"/>
      <c r="E268" s="39"/>
      <c r="F268" s="39"/>
      <c r="G268" s="39"/>
      <c r="H268" s="10"/>
      <c r="I268" s="38"/>
      <c r="J268" s="38"/>
      <c r="K268" s="38"/>
      <c r="L268" s="40"/>
      <c r="M268" s="40" t="str">
        <f t="shared" si="9"/>
        <v/>
      </c>
      <c r="N268" s="38" t="str">
        <f ca="1">IF(M268="","",IF(M268="","",IF(OR(IFERROR(INDEX('Calibration Schedule'!J:J,MATCH(B268,'Calibration Schedule'!C:C,0)),"")="Sent for calibration",IFERROR(INDEX('Calibration Schedule'!J:J,MATCH(B268,'Calibration Schedule'!C:C,0)),"")="Scheduled for calibration"),IFERROR(INDEX('Calibration Schedule'!J:J,MATCH(B268,'Calibration Schedule'!C:C,0)),""),IF(M268&lt;TODAY(),"Expired",IF(M268&lt;=TODAY()+30,"Expiring Soon","Pass")))))</f>
        <v/>
      </c>
      <c r="O268" s="10"/>
      <c r="P268" s="38"/>
      <c r="Q268" s="38"/>
      <c r="R268" s="52"/>
    </row>
    <row r="269" spans="1:18">
      <c r="A269" s="38" t="str">
        <f t="shared" si="8"/>
        <v/>
      </c>
      <c r="B269" s="41"/>
      <c r="C269" s="42"/>
      <c r="D269" s="42"/>
      <c r="E269" s="41"/>
      <c r="F269" s="41"/>
      <c r="G269" s="41"/>
      <c r="H269" s="43"/>
      <c r="I269" s="42"/>
      <c r="J269" s="42"/>
      <c r="K269" s="42"/>
      <c r="L269" s="44"/>
      <c r="M269" s="40" t="str">
        <f t="shared" si="9"/>
        <v/>
      </c>
      <c r="N269" s="38" t="str">
        <f ca="1">IF(M269="","",IF(M269="","",IF(OR(IFERROR(INDEX('Calibration Schedule'!J:J,MATCH(B269,'Calibration Schedule'!C:C,0)),"")="Sent for calibration",IFERROR(INDEX('Calibration Schedule'!J:J,MATCH(B269,'Calibration Schedule'!C:C,0)),"")="Scheduled for calibration"),IFERROR(INDEX('Calibration Schedule'!J:J,MATCH(B269,'Calibration Schedule'!C:C,0)),""),IF(M269&lt;TODAY(),"Expired",IF(M269&lt;=TODAY()+30,"Expiring Soon","Pass")))))</f>
        <v/>
      </c>
      <c r="O269" s="43"/>
      <c r="P269" s="42"/>
      <c r="Q269" s="42"/>
      <c r="R269" s="52"/>
    </row>
    <row r="270" spans="1:18">
      <c r="A270" s="38" t="str">
        <f t="shared" si="8"/>
        <v/>
      </c>
      <c r="B270" s="39"/>
      <c r="C270" s="38"/>
      <c r="D270" s="38"/>
      <c r="E270" s="39"/>
      <c r="F270" s="39"/>
      <c r="G270" s="39"/>
      <c r="H270" s="10"/>
      <c r="I270" s="38"/>
      <c r="J270" s="38"/>
      <c r="K270" s="38"/>
      <c r="L270" s="40"/>
      <c r="M270" s="40" t="str">
        <f t="shared" si="9"/>
        <v/>
      </c>
      <c r="N270" s="38" t="str">
        <f ca="1">IF(M270="","",IF(M270="","",IF(OR(IFERROR(INDEX('Calibration Schedule'!J:J,MATCH(B270,'Calibration Schedule'!C:C,0)),"")="Sent for calibration",IFERROR(INDEX('Calibration Schedule'!J:J,MATCH(B270,'Calibration Schedule'!C:C,0)),"")="Scheduled for calibration"),IFERROR(INDEX('Calibration Schedule'!J:J,MATCH(B270,'Calibration Schedule'!C:C,0)),""),IF(M270&lt;TODAY(),"Expired",IF(M270&lt;=TODAY()+30,"Expiring Soon","Pass")))))</f>
        <v/>
      </c>
      <c r="O270" s="10"/>
      <c r="P270" s="38"/>
      <c r="Q270" s="38"/>
      <c r="R270" s="52"/>
    </row>
    <row r="271" spans="1:18">
      <c r="A271" s="38" t="str">
        <f t="shared" si="8"/>
        <v/>
      </c>
      <c r="B271" s="41"/>
      <c r="C271" s="42"/>
      <c r="D271" s="42"/>
      <c r="E271" s="41"/>
      <c r="F271" s="41"/>
      <c r="G271" s="41"/>
      <c r="H271" s="43"/>
      <c r="I271" s="42"/>
      <c r="J271" s="42"/>
      <c r="K271" s="42"/>
      <c r="L271" s="44"/>
      <c r="M271" s="40" t="str">
        <f t="shared" si="9"/>
        <v/>
      </c>
      <c r="N271" s="38" t="str">
        <f ca="1">IF(M271="","",IF(M271="","",IF(OR(IFERROR(INDEX('Calibration Schedule'!J:J,MATCH(B271,'Calibration Schedule'!C:C,0)),"")="Sent for calibration",IFERROR(INDEX('Calibration Schedule'!J:J,MATCH(B271,'Calibration Schedule'!C:C,0)),"")="Scheduled for calibration"),IFERROR(INDEX('Calibration Schedule'!J:J,MATCH(B271,'Calibration Schedule'!C:C,0)),""),IF(M271&lt;TODAY(),"Expired",IF(M271&lt;=TODAY()+30,"Expiring Soon","Pass")))))</f>
        <v/>
      </c>
      <c r="O271" s="43"/>
      <c r="P271" s="42"/>
      <c r="Q271" s="42"/>
      <c r="R271" s="52"/>
    </row>
    <row r="272" spans="1:18">
      <c r="A272" s="38" t="str">
        <f t="shared" si="8"/>
        <v/>
      </c>
      <c r="B272" s="39"/>
      <c r="C272" s="38"/>
      <c r="D272" s="38"/>
      <c r="E272" s="39"/>
      <c r="F272" s="39"/>
      <c r="G272" s="39"/>
      <c r="H272" s="10"/>
      <c r="I272" s="38"/>
      <c r="J272" s="38"/>
      <c r="K272" s="38"/>
      <c r="L272" s="40"/>
      <c r="M272" s="40" t="str">
        <f t="shared" si="9"/>
        <v/>
      </c>
      <c r="N272" s="38" t="str">
        <f ca="1">IF(M272="","",IF(M272="","",IF(OR(IFERROR(INDEX('Calibration Schedule'!J:J,MATCH(B272,'Calibration Schedule'!C:C,0)),"")="Sent for calibration",IFERROR(INDEX('Calibration Schedule'!J:J,MATCH(B272,'Calibration Schedule'!C:C,0)),"")="Scheduled for calibration"),IFERROR(INDEX('Calibration Schedule'!J:J,MATCH(B272,'Calibration Schedule'!C:C,0)),""),IF(M272&lt;TODAY(),"Expired",IF(M272&lt;=TODAY()+30,"Expiring Soon","Pass")))))</f>
        <v/>
      </c>
      <c r="O272" s="10"/>
      <c r="P272" s="38"/>
      <c r="Q272" s="38"/>
      <c r="R272" s="52"/>
    </row>
    <row r="273" spans="1:18">
      <c r="A273" s="38" t="str">
        <f t="shared" si="8"/>
        <v/>
      </c>
      <c r="B273" s="41"/>
      <c r="C273" s="42"/>
      <c r="D273" s="42"/>
      <c r="E273" s="41"/>
      <c r="F273" s="41"/>
      <c r="G273" s="41"/>
      <c r="H273" s="43"/>
      <c r="I273" s="42"/>
      <c r="J273" s="42"/>
      <c r="K273" s="42"/>
      <c r="L273" s="44"/>
      <c r="M273" s="40" t="str">
        <f t="shared" si="9"/>
        <v/>
      </c>
      <c r="N273" s="38" t="str">
        <f ca="1">IF(M273="","",IF(M273="","",IF(OR(IFERROR(INDEX('Calibration Schedule'!J:J,MATCH(B273,'Calibration Schedule'!C:C,0)),"")="Sent for calibration",IFERROR(INDEX('Calibration Schedule'!J:J,MATCH(B273,'Calibration Schedule'!C:C,0)),"")="Scheduled for calibration"),IFERROR(INDEX('Calibration Schedule'!J:J,MATCH(B273,'Calibration Schedule'!C:C,0)),""),IF(M273&lt;TODAY(),"Expired",IF(M273&lt;=TODAY()+30,"Expiring Soon","Pass")))))</f>
        <v/>
      </c>
      <c r="O273" s="43"/>
      <c r="P273" s="42"/>
      <c r="Q273" s="42"/>
      <c r="R273" s="52"/>
    </row>
    <row r="274" spans="1:18">
      <c r="A274" s="38" t="str">
        <f t="shared" si="8"/>
        <v/>
      </c>
      <c r="B274" s="39"/>
      <c r="C274" s="38"/>
      <c r="D274" s="38"/>
      <c r="E274" s="39"/>
      <c r="F274" s="39"/>
      <c r="G274" s="39"/>
      <c r="H274" s="10"/>
      <c r="I274" s="38"/>
      <c r="J274" s="38"/>
      <c r="K274" s="38"/>
      <c r="L274" s="40"/>
      <c r="M274" s="40" t="str">
        <f t="shared" si="9"/>
        <v/>
      </c>
      <c r="N274" s="38" t="str">
        <f ca="1">IF(M274="","",IF(M274="","",IF(OR(IFERROR(INDEX('Calibration Schedule'!J:J,MATCH(B274,'Calibration Schedule'!C:C,0)),"")="Sent for calibration",IFERROR(INDEX('Calibration Schedule'!J:J,MATCH(B274,'Calibration Schedule'!C:C,0)),"")="Scheduled for calibration"),IFERROR(INDEX('Calibration Schedule'!J:J,MATCH(B274,'Calibration Schedule'!C:C,0)),""),IF(M274&lt;TODAY(),"Expired",IF(M274&lt;=TODAY()+30,"Expiring Soon","Pass")))))</f>
        <v/>
      </c>
      <c r="O274" s="10"/>
      <c r="P274" s="38"/>
      <c r="Q274" s="38"/>
      <c r="R274" s="52"/>
    </row>
    <row r="275" spans="1:18">
      <c r="A275" s="38" t="str">
        <f t="shared" si="8"/>
        <v/>
      </c>
      <c r="B275" s="41"/>
      <c r="C275" s="42"/>
      <c r="D275" s="42"/>
      <c r="E275" s="41"/>
      <c r="F275" s="41"/>
      <c r="G275" s="41"/>
      <c r="H275" s="43"/>
      <c r="I275" s="42"/>
      <c r="J275" s="42"/>
      <c r="K275" s="42"/>
      <c r="L275" s="44"/>
      <c r="M275" s="40" t="str">
        <f t="shared" si="9"/>
        <v/>
      </c>
      <c r="N275" s="38" t="str">
        <f ca="1">IF(M275="","",IF(M275="","",IF(OR(IFERROR(INDEX('Calibration Schedule'!J:J,MATCH(B275,'Calibration Schedule'!C:C,0)),"")="Sent for calibration",IFERROR(INDEX('Calibration Schedule'!J:J,MATCH(B275,'Calibration Schedule'!C:C,0)),"")="Scheduled for calibration"),IFERROR(INDEX('Calibration Schedule'!J:J,MATCH(B275,'Calibration Schedule'!C:C,0)),""),IF(M275&lt;TODAY(),"Expired",IF(M275&lt;=TODAY()+30,"Expiring Soon","Pass")))))</f>
        <v/>
      </c>
      <c r="O275" s="43"/>
      <c r="P275" s="42"/>
      <c r="Q275" s="42"/>
      <c r="R275" s="52"/>
    </row>
    <row r="276" spans="1:18">
      <c r="A276" s="38" t="str">
        <f t="shared" si="8"/>
        <v/>
      </c>
      <c r="B276" s="39"/>
      <c r="C276" s="38"/>
      <c r="D276" s="38"/>
      <c r="E276" s="39"/>
      <c r="F276" s="39"/>
      <c r="G276" s="39"/>
      <c r="H276" s="10"/>
      <c r="I276" s="38"/>
      <c r="J276" s="38"/>
      <c r="K276" s="38"/>
      <c r="L276" s="40"/>
      <c r="M276" s="40" t="str">
        <f t="shared" si="9"/>
        <v/>
      </c>
      <c r="N276" s="38" t="str">
        <f ca="1">IF(M276="","",IF(M276="","",IF(OR(IFERROR(INDEX('Calibration Schedule'!J:J,MATCH(B276,'Calibration Schedule'!C:C,0)),"")="Sent for calibration",IFERROR(INDEX('Calibration Schedule'!J:J,MATCH(B276,'Calibration Schedule'!C:C,0)),"")="Scheduled for calibration"),IFERROR(INDEX('Calibration Schedule'!J:J,MATCH(B276,'Calibration Schedule'!C:C,0)),""),IF(M276&lt;TODAY(),"Expired",IF(M276&lt;=TODAY()+30,"Expiring Soon","Pass")))))</f>
        <v/>
      </c>
      <c r="O276" s="10"/>
      <c r="P276" s="38"/>
      <c r="Q276" s="38"/>
      <c r="R276" s="52"/>
    </row>
    <row r="277" spans="1:18">
      <c r="A277" s="38" t="str">
        <f t="shared" si="8"/>
        <v/>
      </c>
      <c r="B277" s="41"/>
      <c r="C277" s="42"/>
      <c r="D277" s="42"/>
      <c r="E277" s="41"/>
      <c r="F277" s="41"/>
      <c r="G277" s="41"/>
      <c r="H277" s="43"/>
      <c r="I277" s="42"/>
      <c r="J277" s="42"/>
      <c r="K277" s="42"/>
      <c r="L277" s="44"/>
      <c r="M277" s="40" t="str">
        <f t="shared" si="9"/>
        <v/>
      </c>
      <c r="N277" s="38" t="str">
        <f ca="1">IF(M277="","",IF(M277="","",IF(OR(IFERROR(INDEX('Calibration Schedule'!J:J,MATCH(B277,'Calibration Schedule'!C:C,0)),"")="Sent for calibration",IFERROR(INDEX('Calibration Schedule'!J:J,MATCH(B277,'Calibration Schedule'!C:C,0)),"")="Scheduled for calibration"),IFERROR(INDEX('Calibration Schedule'!J:J,MATCH(B277,'Calibration Schedule'!C:C,0)),""),IF(M277&lt;TODAY(),"Expired",IF(M277&lt;=TODAY()+30,"Expiring Soon","Pass")))))</f>
        <v/>
      </c>
      <c r="O277" s="43"/>
      <c r="P277" s="42"/>
      <c r="Q277" s="42"/>
      <c r="R277" s="52"/>
    </row>
    <row r="278" spans="1:18">
      <c r="A278" s="38" t="str">
        <f t="shared" si="8"/>
        <v/>
      </c>
      <c r="B278" s="39"/>
      <c r="C278" s="38"/>
      <c r="D278" s="38"/>
      <c r="E278" s="39"/>
      <c r="F278" s="39"/>
      <c r="G278" s="39"/>
      <c r="H278" s="10"/>
      <c r="I278" s="38"/>
      <c r="J278" s="38"/>
      <c r="K278" s="38"/>
      <c r="L278" s="40"/>
      <c r="M278" s="40" t="str">
        <f t="shared" si="9"/>
        <v/>
      </c>
      <c r="N278" s="38" t="str">
        <f ca="1">IF(M278="","",IF(M278="","",IF(OR(IFERROR(INDEX('Calibration Schedule'!J:J,MATCH(B278,'Calibration Schedule'!C:C,0)),"")="Sent for calibration",IFERROR(INDEX('Calibration Schedule'!J:J,MATCH(B278,'Calibration Schedule'!C:C,0)),"")="Scheduled for calibration"),IFERROR(INDEX('Calibration Schedule'!J:J,MATCH(B278,'Calibration Schedule'!C:C,0)),""),IF(M278&lt;TODAY(),"Expired",IF(M278&lt;=TODAY()+30,"Expiring Soon","Pass")))))</f>
        <v/>
      </c>
      <c r="O278" s="10"/>
      <c r="P278" s="38"/>
      <c r="Q278" s="38"/>
      <c r="R278" s="52"/>
    </row>
    <row r="279" spans="1:18">
      <c r="A279" s="38" t="str">
        <f t="shared" si="8"/>
        <v/>
      </c>
      <c r="B279" s="41"/>
      <c r="C279" s="42"/>
      <c r="D279" s="42"/>
      <c r="E279" s="41"/>
      <c r="F279" s="41"/>
      <c r="G279" s="41"/>
      <c r="H279" s="43"/>
      <c r="I279" s="42"/>
      <c r="J279" s="42"/>
      <c r="K279" s="42"/>
      <c r="L279" s="44"/>
      <c r="M279" s="40" t="str">
        <f t="shared" si="9"/>
        <v/>
      </c>
      <c r="N279" s="38" t="str">
        <f ca="1">IF(M279="","",IF(M279="","",IF(OR(IFERROR(INDEX('Calibration Schedule'!J:J,MATCH(B279,'Calibration Schedule'!C:C,0)),"")="Sent for calibration",IFERROR(INDEX('Calibration Schedule'!J:J,MATCH(B279,'Calibration Schedule'!C:C,0)),"")="Scheduled for calibration"),IFERROR(INDEX('Calibration Schedule'!J:J,MATCH(B279,'Calibration Schedule'!C:C,0)),""),IF(M279&lt;TODAY(),"Expired",IF(M279&lt;=TODAY()+30,"Expiring Soon","Pass")))))</f>
        <v/>
      </c>
      <c r="O279" s="43"/>
      <c r="P279" s="42"/>
      <c r="Q279" s="42"/>
      <c r="R279" s="52"/>
    </row>
    <row r="280" spans="1:18">
      <c r="A280" s="38" t="str">
        <f t="shared" si="8"/>
        <v/>
      </c>
      <c r="B280" s="39"/>
      <c r="C280" s="38"/>
      <c r="D280" s="38"/>
      <c r="E280" s="39"/>
      <c r="F280" s="39"/>
      <c r="G280" s="39"/>
      <c r="H280" s="10"/>
      <c r="I280" s="38"/>
      <c r="J280" s="38"/>
      <c r="K280" s="38"/>
      <c r="L280" s="40"/>
      <c r="M280" s="40" t="str">
        <f t="shared" si="9"/>
        <v/>
      </c>
      <c r="N280" s="38" t="str">
        <f ca="1">IF(M280="","",IF(M280="","",IF(OR(IFERROR(INDEX('Calibration Schedule'!J:J,MATCH(B280,'Calibration Schedule'!C:C,0)),"")="Sent for calibration",IFERROR(INDEX('Calibration Schedule'!J:J,MATCH(B280,'Calibration Schedule'!C:C,0)),"")="Scheduled for calibration"),IFERROR(INDEX('Calibration Schedule'!J:J,MATCH(B280,'Calibration Schedule'!C:C,0)),""),IF(M280&lt;TODAY(),"Expired",IF(M280&lt;=TODAY()+30,"Expiring Soon","Pass")))))</f>
        <v/>
      </c>
      <c r="O280" s="10"/>
      <c r="P280" s="38"/>
      <c r="Q280" s="38"/>
      <c r="R280" s="52"/>
    </row>
    <row r="281" spans="1:18">
      <c r="A281" s="38" t="str">
        <f t="shared" si="8"/>
        <v/>
      </c>
      <c r="B281" s="41"/>
      <c r="C281" s="42"/>
      <c r="D281" s="42"/>
      <c r="E281" s="41"/>
      <c r="F281" s="41"/>
      <c r="G281" s="41"/>
      <c r="H281" s="43"/>
      <c r="I281" s="42"/>
      <c r="J281" s="42"/>
      <c r="K281" s="42"/>
      <c r="L281" s="44"/>
      <c r="M281" s="40" t="str">
        <f t="shared" si="9"/>
        <v/>
      </c>
      <c r="N281" s="38" t="str">
        <f ca="1">IF(M281="","",IF(M281="","",IF(OR(IFERROR(INDEX('Calibration Schedule'!J:J,MATCH(B281,'Calibration Schedule'!C:C,0)),"")="Sent for calibration",IFERROR(INDEX('Calibration Schedule'!J:J,MATCH(B281,'Calibration Schedule'!C:C,0)),"")="Scheduled for calibration"),IFERROR(INDEX('Calibration Schedule'!J:J,MATCH(B281,'Calibration Schedule'!C:C,0)),""),IF(M281&lt;TODAY(),"Expired",IF(M281&lt;=TODAY()+30,"Expiring Soon","Pass")))))</f>
        <v/>
      </c>
      <c r="O281" s="43"/>
      <c r="P281" s="42"/>
      <c r="Q281" s="42"/>
      <c r="R281" s="52"/>
    </row>
    <row r="282" spans="1:18">
      <c r="A282" s="38" t="str">
        <f t="shared" si="8"/>
        <v/>
      </c>
      <c r="B282" s="39"/>
      <c r="C282" s="38"/>
      <c r="D282" s="38"/>
      <c r="E282" s="39"/>
      <c r="F282" s="39"/>
      <c r="G282" s="39"/>
      <c r="H282" s="10"/>
      <c r="I282" s="38"/>
      <c r="J282" s="38"/>
      <c r="K282" s="38"/>
      <c r="L282" s="40"/>
      <c r="M282" s="40" t="str">
        <f t="shared" si="9"/>
        <v/>
      </c>
      <c r="N282" s="38" t="str">
        <f ca="1">IF(M282="","",IF(M282="","",IF(OR(IFERROR(INDEX('Calibration Schedule'!J:J,MATCH(B282,'Calibration Schedule'!C:C,0)),"")="Sent for calibration",IFERROR(INDEX('Calibration Schedule'!J:J,MATCH(B282,'Calibration Schedule'!C:C,0)),"")="Scheduled for calibration"),IFERROR(INDEX('Calibration Schedule'!J:J,MATCH(B282,'Calibration Schedule'!C:C,0)),""),IF(M282&lt;TODAY(),"Expired",IF(M282&lt;=TODAY()+30,"Expiring Soon","Pass")))))</f>
        <v/>
      </c>
      <c r="O282" s="10"/>
      <c r="P282" s="38"/>
      <c r="Q282" s="38"/>
      <c r="R282" s="52"/>
    </row>
    <row r="283" spans="1:18">
      <c r="A283" s="38" t="str">
        <f t="shared" si="8"/>
        <v/>
      </c>
      <c r="B283" s="41"/>
      <c r="C283" s="42"/>
      <c r="D283" s="42"/>
      <c r="E283" s="41"/>
      <c r="F283" s="41"/>
      <c r="G283" s="41"/>
      <c r="H283" s="43"/>
      <c r="I283" s="42"/>
      <c r="J283" s="42"/>
      <c r="K283" s="42"/>
      <c r="L283" s="44"/>
      <c r="M283" s="40" t="str">
        <f t="shared" si="9"/>
        <v/>
      </c>
      <c r="N283" s="38" t="str">
        <f ca="1">IF(M283="","",IF(M283="","",IF(OR(IFERROR(INDEX('Calibration Schedule'!J:J,MATCH(B283,'Calibration Schedule'!C:C,0)),"")="Sent for calibration",IFERROR(INDEX('Calibration Schedule'!J:J,MATCH(B283,'Calibration Schedule'!C:C,0)),"")="Scheduled for calibration"),IFERROR(INDEX('Calibration Schedule'!J:J,MATCH(B283,'Calibration Schedule'!C:C,0)),""),IF(M283&lt;TODAY(),"Expired",IF(M283&lt;=TODAY()+30,"Expiring Soon","Pass")))))</f>
        <v/>
      </c>
      <c r="O283" s="43"/>
      <c r="P283" s="42"/>
      <c r="Q283" s="42"/>
      <c r="R283" s="52"/>
    </row>
    <row r="284" spans="1:18">
      <c r="A284" s="38" t="str">
        <f t="shared" si="8"/>
        <v/>
      </c>
      <c r="B284" s="39"/>
      <c r="C284" s="38"/>
      <c r="D284" s="38"/>
      <c r="E284" s="39"/>
      <c r="F284" s="39"/>
      <c r="G284" s="39"/>
      <c r="H284" s="10"/>
      <c r="I284" s="38"/>
      <c r="J284" s="38"/>
      <c r="K284" s="38"/>
      <c r="L284" s="40"/>
      <c r="M284" s="40" t="str">
        <f t="shared" si="9"/>
        <v/>
      </c>
      <c r="N284" s="38" t="str">
        <f ca="1">IF(M284="","",IF(M284="","",IF(OR(IFERROR(INDEX('Calibration Schedule'!J:J,MATCH(B284,'Calibration Schedule'!C:C,0)),"")="Sent for calibration",IFERROR(INDEX('Calibration Schedule'!J:J,MATCH(B284,'Calibration Schedule'!C:C,0)),"")="Scheduled for calibration"),IFERROR(INDEX('Calibration Schedule'!J:J,MATCH(B284,'Calibration Schedule'!C:C,0)),""),IF(M284&lt;TODAY(),"Expired",IF(M284&lt;=TODAY()+30,"Expiring Soon","Pass")))))</f>
        <v/>
      </c>
      <c r="O284" s="10"/>
      <c r="P284" s="38"/>
      <c r="Q284" s="38"/>
      <c r="R284" s="52"/>
    </row>
    <row r="285" spans="1:18">
      <c r="A285" s="38" t="str">
        <f t="shared" si="8"/>
        <v/>
      </c>
      <c r="B285" s="41"/>
      <c r="C285" s="42"/>
      <c r="D285" s="42"/>
      <c r="E285" s="41"/>
      <c r="F285" s="41"/>
      <c r="G285" s="41"/>
      <c r="H285" s="43"/>
      <c r="I285" s="42"/>
      <c r="J285" s="42"/>
      <c r="K285" s="42"/>
      <c r="L285" s="44"/>
      <c r="M285" s="40" t="str">
        <f t="shared" si="9"/>
        <v/>
      </c>
      <c r="N285" s="38" t="str">
        <f ca="1">IF(M285="","",IF(M285="","",IF(OR(IFERROR(INDEX('Calibration Schedule'!J:J,MATCH(B285,'Calibration Schedule'!C:C,0)),"")="Sent for calibration",IFERROR(INDEX('Calibration Schedule'!J:J,MATCH(B285,'Calibration Schedule'!C:C,0)),"")="Scheduled for calibration"),IFERROR(INDEX('Calibration Schedule'!J:J,MATCH(B285,'Calibration Schedule'!C:C,0)),""),IF(M285&lt;TODAY(),"Expired",IF(M285&lt;=TODAY()+30,"Expiring Soon","Pass")))))</f>
        <v/>
      </c>
      <c r="O285" s="43"/>
      <c r="P285" s="42"/>
      <c r="Q285" s="42"/>
      <c r="R285" s="52"/>
    </row>
    <row r="286" spans="1:18">
      <c r="A286" s="38" t="str">
        <f t="shared" si="8"/>
        <v/>
      </c>
      <c r="B286" s="39"/>
      <c r="C286" s="38"/>
      <c r="D286" s="38"/>
      <c r="E286" s="39"/>
      <c r="F286" s="39"/>
      <c r="G286" s="39"/>
      <c r="H286" s="10"/>
      <c r="I286" s="38"/>
      <c r="J286" s="38"/>
      <c r="K286" s="38"/>
      <c r="L286" s="40"/>
      <c r="M286" s="40" t="str">
        <f t="shared" si="9"/>
        <v/>
      </c>
      <c r="N286" s="38" t="str">
        <f ca="1">IF(M286="","",IF(M286="","",IF(OR(IFERROR(INDEX('Calibration Schedule'!J:J,MATCH(B286,'Calibration Schedule'!C:C,0)),"")="Sent for calibration",IFERROR(INDEX('Calibration Schedule'!J:J,MATCH(B286,'Calibration Schedule'!C:C,0)),"")="Scheduled for calibration"),IFERROR(INDEX('Calibration Schedule'!J:J,MATCH(B286,'Calibration Schedule'!C:C,0)),""),IF(M286&lt;TODAY(),"Expired",IF(M286&lt;=TODAY()+30,"Expiring Soon","Pass")))))</f>
        <v/>
      </c>
      <c r="O286" s="10"/>
      <c r="P286" s="38"/>
      <c r="Q286" s="38"/>
      <c r="R286" s="52"/>
    </row>
    <row r="287" spans="1:18">
      <c r="A287" s="38" t="str">
        <f t="shared" si="8"/>
        <v/>
      </c>
      <c r="B287" s="41"/>
      <c r="C287" s="42"/>
      <c r="D287" s="42"/>
      <c r="E287" s="41"/>
      <c r="F287" s="41"/>
      <c r="G287" s="41"/>
      <c r="H287" s="43"/>
      <c r="I287" s="42"/>
      <c r="J287" s="42"/>
      <c r="K287" s="42"/>
      <c r="L287" s="44"/>
      <c r="M287" s="40" t="str">
        <f t="shared" si="9"/>
        <v/>
      </c>
      <c r="N287" s="38" t="str">
        <f ca="1">IF(M287="","",IF(M287="","",IF(OR(IFERROR(INDEX('Calibration Schedule'!J:J,MATCH(B287,'Calibration Schedule'!C:C,0)),"")="Sent for calibration",IFERROR(INDEX('Calibration Schedule'!J:J,MATCH(B287,'Calibration Schedule'!C:C,0)),"")="Scheduled for calibration"),IFERROR(INDEX('Calibration Schedule'!J:J,MATCH(B287,'Calibration Schedule'!C:C,0)),""),IF(M287&lt;TODAY(),"Expired",IF(M287&lt;=TODAY()+30,"Expiring Soon","Pass")))))</f>
        <v/>
      </c>
      <c r="O287" s="43"/>
      <c r="P287" s="42"/>
      <c r="Q287" s="42"/>
      <c r="R287" s="52"/>
    </row>
    <row r="288" spans="1:18">
      <c r="A288" s="38" t="str">
        <f t="shared" si="8"/>
        <v/>
      </c>
      <c r="B288" s="39"/>
      <c r="C288" s="38"/>
      <c r="D288" s="38"/>
      <c r="E288" s="39"/>
      <c r="F288" s="39"/>
      <c r="G288" s="39"/>
      <c r="H288" s="10"/>
      <c r="I288" s="38"/>
      <c r="J288" s="38"/>
      <c r="K288" s="38"/>
      <c r="L288" s="40"/>
      <c r="M288" s="40" t="str">
        <f t="shared" si="9"/>
        <v/>
      </c>
      <c r="N288" s="38" t="str">
        <f ca="1">IF(M288="","",IF(M288="","",IF(OR(IFERROR(INDEX('Calibration Schedule'!J:J,MATCH(B288,'Calibration Schedule'!C:C,0)),"")="Sent for calibration",IFERROR(INDEX('Calibration Schedule'!J:J,MATCH(B288,'Calibration Schedule'!C:C,0)),"")="Scheduled for calibration"),IFERROR(INDEX('Calibration Schedule'!J:J,MATCH(B288,'Calibration Schedule'!C:C,0)),""),IF(M288&lt;TODAY(),"Expired",IF(M288&lt;=TODAY()+30,"Expiring Soon","Pass")))))</f>
        <v/>
      </c>
      <c r="O288" s="10"/>
      <c r="P288" s="38"/>
      <c r="Q288" s="38"/>
      <c r="R288" s="52"/>
    </row>
    <row r="289" spans="1:18">
      <c r="A289" s="38" t="str">
        <f t="shared" si="8"/>
        <v/>
      </c>
      <c r="B289" s="41"/>
      <c r="C289" s="42"/>
      <c r="D289" s="42"/>
      <c r="E289" s="41"/>
      <c r="F289" s="41"/>
      <c r="G289" s="41"/>
      <c r="H289" s="43"/>
      <c r="I289" s="42"/>
      <c r="J289" s="42"/>
      <c r="K289" s="42"/>
      <c r="L289" s="44"/>
      <c r="M289" s="40" t="str">
        <f t="shared" si="9"/>
        <v/>
      </c>
      <c r="N289" s="38" t="str">
        <f ca="1">IF(M289="","",IF(M289="","",IF(OR(IFERROR(INDEX('Calibration Schedule'!J:J,MATCH(B289,'Calibration Schedule'!C:C,0)),"")="Sent for calibration",IFERROR(INDEX('Calibration Schedule'!J:J,MATCH(B289,'Calibration Schedule'!C:C,0)),"")="Scheduled for calibration"),IFERROR(INDEX('Calibration Schedule'!J:J,MATCH(B289,'Calibration Schedule'!C:C,0)),""),IF(M289&lt;TODAY(),"Expired",IF(M289&lt;=TODAY()+30,"Expiring Soon","Pass")))))</f>
        <v/>
      </c>
      <c r="O289" s="43"/>
      <c r="P289" s="42"/>
      <c r="Q289" s="42"/>
      <c r="R289" s="52"/>
    </row>
    <row r="290" spans="1:18">
      <c r="A290" s="38" t="str">
        <f t="shared" si="8"/>
        <v/>
      </c>
      <c r="B290" s="39"/>
      <c r="C290" s="38"/>
      <c r="D290" s="38"/>
      <c r="E290" s="39"/>
      <c r="F290" s="39"/>
      <c r="G290" s="39"/>
      <c r="H290" s="10"/>
      <c r="I290" s="38"/>
      <c r="J290" s="38"/>
      <c r="K290" s="38"/>
      <c r="L290" s="40"/>
      <c r="M290" s="40" t="str">
        <f t="shared" si="9"/>
        <v/>
      </c>
      <c r="N290" s="38" t="str">
        <f ca="1">IF(M290="","",IF(M290="","",IF(OR(IFERROR(INDEX('Calibration Schedule'!J:J,MATCH(B290,'Calibration Schedule'!C:C,0)),"")="Sent for calibration",IFERROR(INDEX('Calibration Schedule'!J:J,MATCH(B290,'Calibration Schedule'!C:C,0)),"")="Scheduled for calibration"),IFERROR(INDEX('Calibration Schedule'!J:J,MATCH(B290,'Calibration Schedule'!C:C,0)),""),IF(M290&lt;TODAY(),"Expired",IF(M290&lt;=TODAY()+30,"Expiring Soon","Pass")))))</f>
        <v/>
      </c>
      <c r="O290" s="10"/>
      <c r="P290" s="38"/>
      <c r="Q290" s="38"/>
      <c r="R290" s="52"/>
    </row>
    <row r="291" spans="1:18">
      <c r="A291" s="38" t="str">
        <f t="shared" si="8"/>
        <v/>
      </c>
      <c r="B291" s="41"/>
      <c r="C291" s="42"/>
      <c r="D291" s="42"/>
      <c r="E291" s="41"/>
      <c r="F291" s="41"/>
      <c r="G291" s="41"/>
      <c r="H291" s="43"/>
      <c r="I291" s="42"/>
      <c r="J291" s="42"/>
      <c r="K291" s="42"/>
      <c r="L291" s="44"/>
      <c r="M291" s="40" t="str">
        <f t="shared" si="9"/>
        <v/>
      </c>
      <c r="N291" s="38" t="str">
        <f ca="1">IF(M291="","",IF(M291="","",IF(OR(IFERROR(INDEX('Calibration Schedule'!J:J,MATCH(B291,'Calibration Schedule'!C:C,0)),"")="Sent for calibration",IFERROR(INDEX('Calibration Schedule'!J:J,MATCH(B291,'Calibration Schedule'!C:C,0)),"")="Scheduled for calibration"),IFERROR(INDEX('Calibration Schedule'!J:J,MATCH(B291,'Calibration Schedule'!C:C,0)),""),IF(M291&lt;TODAY(),"Expired",IF(M291&lt;=TODAY()+30,"Expiring Soon","Pass")))))</f>
        <v/>
      </c>
      <c r="O291" s="43"/>
      <c r="P291" s="42"/>
      <c r="Q291" s="42"/>
      <c r="R291" s="52"/>
    </row>
    <row r="292" spans="1:18">
      <c r="A292" s="38" t="str">
        <f t="shared" si="8"/>
        <v/>
      </c>
      <c r="B292" s="39"/>
      <c r="C292" s="38"/>
      <c r="D292" s="38"/>
      <c r="E292" s="39"/>
      <c r="F292" s="39"/>
      <c r="G292" s="39"/>
      <c r="H292" s="10"/>
      <c r="I292" s="38"/>
      <c r="J292" s="38"/>
      <c r="K292" s="38"/>
      <c r="L292" s="40"/>
      <c r="M292" s="40" t="str">
        <f t="shared" si="9"/>
        <v/>
      </c>
      <c r="N292" s="38" t="str">
        <f ca="1">IF(M292="","",IF(M292="","",IF(OR(IFERROR(INDEX('Calibration Schedule'!J:J,MATCH(B292,'Calibration Schedule'!C:C,0)),"")="Sent for calibration",IFERROR(INDEX('Calibration Schedule'!J:J,MATCH(B292,'Calibration Schedule'!C:C,0)),"")="Scheduled for calibration"),IFERROR(INDEX('Calibration Schedule'!J:J,MATCH(B292,'Calibration Schedule'!C:C,0)),""),IF(M292&lt;TODAY(),"Expired",IF(M292&lt;=TODAY()+30,"Expiring Soon","Pass")))))</f>
        <v/>
      </c>
      <c r="O292" s="10"/>
      <c r="P292" s="38"/>
      <c r="Q292" s="38"/>
      <c r="R292" s="52"/>
    </row>
    <row r="293" spans="1:18">
      <c r="A293" s="38" t="str">
        <f t="shared" si="8"/>
        <v/>
      </c>
      <c r="B293" s="41"/>
      <c r="C293" s="42"/>
      <c r="D293" s="42"/>
      <c r="E293" s="41"/>
      <c r="F293" s="41"/>
      <c r="G293" s="41"/>
      <c r="H293" s="43"/>
      <c r="I293" s="42"/>
      <c r="J293" s="42"/>
      <c r="K293" s="42"/>
      <c r="L293" s="44"/>
      <c r="M293" s="40" t="str">
        <f t="shared" si="9"/>
        <v/>
      </c>
      <c r="N293" s="38" t="str">
        <f ca="1">IF(M293="","",IF(M293="","",IF(OR(IFERROR(INDEX('Calibration Schedule'!J:J,MATCH(B293,'Calibration Schedule'!C:C,0)),"")="Sent for calibration",IFERROR(INDEX('Calibration Schedule'!J:J,MATCH(B293,'Calibration Schedule'!C:C,0)),"")="Scheduled for calibration"),IFERROR(INDEX('Calibration Schedule'!J:J,MATCH(B293,'Calibration Schedule'!C:C,0)),""),IF(M293&lt;TODAY(),"Expired",IF(M293&lt;=TODAY()+30,"Expiring Soon","Pass")))))</f>
        <v/>
      </c>
      <c r="O293" s="43"/>
      <c r="P293" s="42"/>
      <c r="Q293" s="42"/>
      <c r="R293" s="52"/>
    </row>
    <row r="294" spans="1:18">
      <c r="A294" s="38" t="str">
        <f t="shared" si="8"/>
        <v/>
      </c>
      <c r="B294" s="39"/>
      <c r="C294" s="38"/>
      <c r="D294" s="38"/>
      <c r="E294" s="39"/>
      <c r="F294" s="39"/>
      <c r="G294" s="39"/>
      <c r="H294" s="10"/>
      <c r="I294" s="38"/>
      <c r="J294" s="38"/>
      <c r="K294" s="38"/>
      <c r="L294" s="40"/>
      <c r="M294" s="40" t="str">
        <f t="shared" si="9"/>
        <v/>
      </c>
      <c r="N294" s="38" t="str">
        <f ca="1">IF(M294="","",IF(M294="","",IF(OR(IFERROR(INDEX('Calibration Schedule'!J:J,MATCH(B294,'Calibration Schedule'!C:C,0)),"")="Sent for calibration",IFERROR(INDEX('Calibration Schedule'!J:J,MATCH(B294,'Calibration Schedule'!C:C,0)),"")="Scheduled for calibration"),IFERROR(INDEX('Calibration Schedule'!J:J,MATCH(B294,'Calibration Schedule'!C:C,0)),""),IF(M294&lt;TODAY(),"Expired",IF(M294&lt;=TODAY()+30,"Expiring Soon","Pass")))))</f>
        <v/>
      </c>
      <c r="O294" s="10"/>
      <c r="P294" s="38"/>
      <c r="Q294" s="38"/>
      <c r="R294" s="52"/>
    </row>
    <row r="295" spans="1:18">
      <c r="A295" s="38" t="str">
        <f t="shared" si="8"/>
        <v/>
      </c>
      <c r="B295" s="41"/>
      <c r="C295" s="42"/>
      <c r="D295" s="42"/>
      <c r="E295" s="41"/>
      <c r="F295" s="41"/>
      <c r="G295" s="41"/>
      <c r="H295" s="43"/>
      <c r="I295" s="42"/>
      <c r="J295" s="42"/>
      <c r="K295" s="42"/>
      <c r="L295" s="44"/>
      <c r="M295" s="40" t="str">
        <f t="shared" si="9"/>
        <v/>
      </c>
      <c r="N295" s="38" t="str">
        <f ca="1">IF(M295="","",IF(M295="","",IF(OR(IFERROR(INDEX('Calibration Schedule'!J:J,MATCH(B295,'Calibration Schedule'!C:C,0)),"")="Sent for calibration",IFERROR(INDEX('Calibration Schedule'!J:J,MATCH(B295,'Calibration Schedule'!C:C,0)),"")="Scheduled for calibration"),IFERROR(INDEX('Calibration Schedule'!J:J,MATCH(B295,'Calibration Schedule'!C:C,0)),""),IF(M295&lt;TODAY(),"Expired",IF(M295&lt;=TODAY()+30,"Expiring Soon","Pass")))))</f>
        <v/>
      </c>
      <c r="O295" s="43"/>
      <c r="P295" s="42"/>
      <c r="Q295" s="42"/>
      <c r="R295" s="52"/>
    </row>
    <row r="296" spans="1:18">
      <c r="A296" s="38" t="str">
        <f t="shared" si="8"/>
        <v/>
      </c>
      <c r="B296" s="39"/>
      <c r="C296" s="38"/>
      <c r="D296" s="38"/>
      <c r="E296" s="39"/>
      <c r="F296" s="39"/>
      <c r="G296" s="39"/>
      <c r="H296" s="10"/>
      <c r="I296" s="38"/>
      <c r="J296" s="38"/>
      <c r="K296" s="38"/>
      <c r="L296" s="40"/>
      <c r="M296" s="40" t="str">
        <f t="shared" si="9"/>
        <v/>
      </c>
      <c r="N296" s="38" t="str">
        <f ca="1">IF(M296="","",IF(M296="","",IF(OR(IFERROR(INDEX('Calibration Schedule'!J:J,MATCH(B296,'Calibration Schedule'!C:C,0)),"")="Sent for calibration",IFERROR(INDEX('Calibration Schedule'!J:J,MATCH(B296,'Calibration Schedule'!C:C,0)),"")="Scheduled for calibration"),IFERROR(INDEX('Calibration Schedule'!J:J,MATCH(B296,'Calibration Schedule'!C:C,0)),""),IF(M296&lt;TODAY(),"Expired",IF(M296&lt;=TODAY()+30,"Expiring Soon","Pass")))))</f>
        <v/>
      </c>
      <c r="O296" s="10"/>
      <c r="P296" s="38"/>
      <c r="Q296" s="38"/>
      <c r="R296" s="52"/>
    </row>
    <row r="297" spans="1:18">
      <c r="A297" s="38" t="str">
        <f t="shared" si="8"/>
        <v/>
      </c>
      <c r="B297" s="41"/>
      <c r="C297" s="42"/>
      <c r="D297" s="42"/>
      <c r="E297" s="41"/>
      <c r="F297" s="41"/>
      <c r="G297" s="41"/>
      <c r="H297" s="43"/>
      <c r="I297" s="42"/>
      <c r="J297" s="42"/>
      <c r="K297" s="42"/>
      <c r="L297" s="44"/>
      <c r="M297" s="40" t="str">
        <f t="shared" si="9"/>
        <v/>
      </c>
      <c r="N297" s="38" t="str">
        <f ca="1">IF(M297="","",IF(M297="","",IF(OR(IFERROR(INDEX('Calibration Schedule'!J:J,MATCH(B297,'Calibration Schedule'!C:C,0)),"")="Sent for calibration",IFERROR(INDEX('Calibration Schedule'!J:J,MATCH(B297,'Calibration Schedule'!C:C,0)),"")="Scheduled for calibration"),IFERROR(INDEX('Calibration Schedule'!J:J,MATCH(B297,'Calibration Schedule'!C:C,0)),""),IF(M297&lt;TODAY(),"Expired",IF(M297&lt;=TODAY()+30,"Expiring Soon","Pass")))))</f>
        <v/>
      </c>
      <c r="O297" s="43"/>
      <c r="P297" s="42"/>
      <c r="Q297" s="42"/>
      <c r="R297" s="52"/>
    </row>
    <row r="298" spans="1:18">
      <c r="A298" s="38" t="str">
        <f t="shared" si="8"/>
        <v/>
      </c>
      <c r="B298" s="39"/>
      <c r="C298" s="38"/>
      <c r="D298" s="38"/>
      <c r="E298" s="39"/>
      <c r="F298" s="39"/>
      <c r="G298" s="39"/>
      <c r="H298" s="10"/>
      <c r="I298" s="38"/>
      <c r="J298" s="38"/>
      <c r="K298" s="38"/>
      <c r="L298" s="40"/>
      <c r="M298" s="40" t="str">
        <f t="shared" si="9"/>
        <v/>
      </c>
      <c r="N298" s="38" t="str">
        <f ca="1">IF(M298="","",IF(M298="","",IF(OR(IFERROR(INDEX('Calibration Schedule'!J:J,MATCH(B298,'Calibration Schedule'!C:C,0)),"")="Sent for calibration",IFERROR(INDEX('Calibration Schedule'!J:J,MATCH(B298,'Calibration Schedule'!C:C,0)),"")="Scheduled for calibration"),IFERROR(INDEX('Calibration Schedule'!J:J,MATCH(B298,'Calibration Schedule'!C:C,0)),""),IF(M298&lt;TODAY(),"Expired",IF(M298&lt;=TODAY()+30,"Expiring Soon","Pass")))))</f>
        <v/>
      </c>
      <c r="O298" s="10"/>
      <c r="P298" s="38"/>
      <c r="Q298" s="38"/>
      <c r="R298" s="52"/>
    </row>
    <row r="299" spans="1:18">
      <c r="A299" s="38" t="str">
        <f t="shared" si="8"/>
        <v/>
      </c>
      <c r="B299" s="41"/>
      <c r="C299" s="42"/>
      <c r="D299" s="42"/>
      <c r="E299" s="41"/>
      <c r="F299" s="41"/>
      <c r="G299" s="41"/>
      <c r="H299" s="43"/>
      <c r="I299" s="42"/>
      <c r="J299" s="42"/>
      <c r="K299" s="42"/>
      <c r="L299" s="44"/>
      <c r="M299" s="40" t="str">
        <f t="shared" si="9"/>
        <v/>
      </c>
      <c r="N299" s="38" t="str">
        <f ca="1">IF(M299="","",IF(M299="","",IF(OR(IFERROR(INDEX('Calibration Schedule'!J:J,MATCH(B299,'Calibration Schedule'!C:C,0)),"")="Sent for calibration",IFERROR(INDEX('Calibration Schedule'!J:J,MATCH(B299,'Calibration Schedule'!C:C,0)),"")="Scheduled for calibration"),IFERROR(INDEX('Calibration Schedule'!J:J,MATCH(B299,'Calibration Schedule'!C:C,0)),""),IF(M299&lt;TODAY(),"Expired",IF(M299&lt;=TODAY()+30,"Expiring Soon","Pass")))))</f>
        <v/>
      </c>
      <c r="O299" s="43"/>
      <c r="P299" s="42"/>
      <c r="Q299" s="42"/>
      <c r="R299" s="52"/>
    </row>
    <row r="300" spans="1:18">
      <c r="A300" s="38" t="str">
        <f t="shared" si="8"/>
        <v/>
      </c>
      <c r="B300" s="39"/>
      <c r="C300" s="38"/>
      <c r="D300" s="38"/>
      <c r="E300" s="39"/>
      <c r="F300" s="39"/>
      <c r="G300" s="39"/>
      <c r="H300" s="10"/>
      <c r="I300" s="38"/>
      <c r="J300" s="38"/>
      <c r="K300" s="38"/>
      <c r="L300" s="40"/>
      <c r="M300" s="40" t="str">
        <f t="shared" si="9"/>
        <v/>
      </c>
      <c r="N300" s="38" t="str">
        <f ca="1">IF(M300="","",IF(M300="","",IF(OR(IFERROR(INDEX('Calibration Schedule'!J:J,MATCH(B300,'Calibration Schedule'!C:C,0)),"")="Sent for calibration",IFERROR(INDEX('Calibration Schedule'!J:J,MATCH(B300,'Calibration Schedule'!C:C,0)),"")="Scheduled for calibration"),IFERROR(INDEX('Calibration Schedule'!J:J,MATCH(B300,'Calibration Schedule'!C:C,0)),""),IF(M300&lt;TODAY(),"Expired",IF(M300&lt;=TODAY()+30,"Expiring Soon","Pass")))))</f>
        <v/>
      </c>
      <c r="O300" s="10"/>
      <c r="P300" s="38"/>
      <c r="Q300" s="38"/>
      <c r="R300" s="52"/>
    </row>
    <row r="301" spans="1:18">
      <c r="A301" s="38" t="str">
        <f t="shared" si="8"/>
        <v/>
      </c>
      <c r="B301" s="41"/>
      <c r="C301" s="42"/>
      <c r="D301" s="42"/>
      <c r="E301" s="41"/>
      <c r="F301" s="41"/>
      <c r="G301" s="41"/>
      <c r="H301" s="43"/>
      <c r="I301" s="42"/>
      <c r="J301" s="42"/>
      <c r="K301" s="42"/>
      <c r="L301" s="44"/>
      <c r="M301" s="40" t="str">
        <f t="shared" si="9"/>
        <v/>
      </c>
      <c r="N301" s="38" t="str">
        <f ca="1">IF(M301="","",IF(M301="","",IF(OR(IFERROR(INDEX('Calibration Schedule'!J:J,MATCH(B301,'Calibration Schedule'!C:C,0)),"")="Sent for calibration",IFERROR(INDEX('Calibration Schedule'!J:J,MATCH(B301,'Calibration Schedule'!C:C,0)),"")="Scheduled for calibration"),IFERROR(INDEX('Calibration Schedule'!J:J,MATCH(B301,'Calibration Schedule'!C:C,0)),""),IF(M301&lt;TODAY(),"Expired",IF(M301&lt;=TODAY()+30,"Expiring Soon","Pass")))))</f>
        <v/>
      </c>
      <c r="O301" s="43"/>
      <c r="P301" s="42"/>
      <c r="Q301" s="42"/>
      <c r="R301" s="52"/>
    </row>
    <row r="302" spans="1:18">
      <c r="A302" s="38" t="str">
        <f t="shared" si="8"/>
        <v/>
      </c>
      <c r="B302" s="39"/>
      <c r="C302" s="38"/>
      <c r="D302" s="38"/>
      <c r="E302" s="39"/>
      <c r="F302" s="39"/>
      <c r="G302" s="39"/>
      <c r="H302" s="10"/>
      <c r="I302" s="38"/>
      <c r="J302" s="38"/>
      <c r="K302" s="38"/>
      <c r="L302" s="40"/>
      <c r="M302" s="40" t="str">
        <f t="shared" si="9"/>
        <v/>
      </c>
      <c r="N302" s="38" t="str">
        <f ca="1">IF(M302="","",IF(M302="","",IF(OR(IFERROR(INDEX('Calibration Schedule'!J:J,MATCH(B302,'Calibration Schedule'!C:C,0)),"")="Sent for calibration",IFERROR(INDEX('Calibration Schedule'!J:J,MATCH(B302,'Calibration Schedule'!C:C,0)),"")="Scheduled for calibration"),IFERROR(INDEX('Calibration Schedule'!J:J,MATCH(B302,'Calibration Schedule'!C:C,0)),""),IF(M302&lt;TODAY(),"Expired",IF(M302&lt;=TODAY()+30,"Expiring Soon","Pass")))))</f>
        <v/>
      </c>
      <c r="O302" s="10"/>
      <c r="P302" s="38"/>
      <c r="Q302" s="38"/>
      <c r="R302" s="52"/>
    </row>
    <row r="303" spans="1:18">
      <c r="A303" s="38" t="str">
        <f t="shared" si="8"/>
        <v/>
      </c>
      <c r="B303" s="41"/>
      <c r="C303" s="42"/>
      <c r="D303" s="42"/>
      <c r="E303" s="41"/>
      <c r="F303" s="41"/>
      <c r="G303" s="41"/>
      <c r="H303" s="43"/>
      <c r="I303" s="42"/>
      <c r="J303" s="42"/>
      <c r="K303" s="42"/>
      <c r="L303" s="44"/>
      <c r="M303" s="40" t="str">
        <f t="shared" si="9"/>
        <v/>
      </c>
      <c r="N303" s="38" t="str">
        <f ca="1">IF(M303="","",IF(M303="","",IF(OR(IFERROR(INDEX('Calibration Schedule'!J:J,MATCH(B303,'Calibration Schedule'!C:C,0)),"")="Sent for calibration",IFERROR(INDEX('Calibration Schedule'!J:J,MATCH(B303,'Calibration Schedule'!C:C,0)),"")="Scheduled for calibration"),IFERROR(INDEX('Calibration Schedule'!J:J,MATCH(B303,'Calibration Schedule'!C:C,0)),""),IF(M303&lt;TODAY(),"Expired",IF(M303&lt;=TODAY()+30,"Expiring Soon","Pass")))))</f>
        <v/>
      </c>
      <c r="O303" s="43"/>
      <c r="P303" s="42"/>
      <c r="Q303" s="42"/>
      <c r="R303" s="52"/>
    </row>
    <row r="304" spans="1:18">
      <c r="A304" s="38" t="str">
        <f t="shared" si="8"/>
        <v/>
      </c>
      <c r="B304" s="39"/>
      <c r="C304" s="38"/>
      <c r="D304" s="38"/>
      <c r="E304" s="39"/>
      <c r="F304" s="39"/>
      <c r="G304" s="39"/>
      <c r="H304" s="10"/>
      <c r="I304" s="38"/>
      <c r="J304" s="38"/>
      <c r="K304" s="38"/>
      <c r="L304" s="40"/>
      <c r="M304" s="40" t="str">
        <f t="shared" si="9"/>
        <v/>
      </c>
      <c r="N304" s="38" t="str">
        <f ca="1">IF(M304="","",IF(M304="","",IF(OR(IFERROR(INDEX('Calibration Schedule'!J:J,MATCH(B304,'Calibration Schedule'!C:C,0)),"")="Sent for calibration",IFERROR(INDEX('Calibration Schedule'!J:J,MATCH(B304,'Calibration Schedule'!C:C,0)),"")="Scheduled for calibration"),IFERROR(INDEX('Calibration Schedule'!J:J,MATCH(B304,'Calibration Schedule'!C:C,0)),""),IF(M304&lt;TODAY(),"Expired",IF(M304&lt;=TODAY()+30,"Expiring Soon","Pass")))))</f>
        <v/>
      </c>
      <c r="O304" s="10"/>
      <c r="P304" s="38"/>
      <c r="Q304" s="38"/>
      <c r="R304" s="52"/>
    </row>
    <row r="305" spans="1:18">
      <c r="A305" s="38" t="str">
        <f t="shared" si="8"/>
        <v/>
      </c>
      <c r="B305" s="41"/>
      <c r="C305" s="42"/>
      <c r="D305" s="42"/>
      <c r="E305" s="41"/>
      <c r="F305" s="41"/>
      <c r="G305" s="41"/>
      <c r="H305" s="43"/>
      <c r="I305" s="42"/>
      <c r="J305" s="42"/>
      <c r="K305" s="42"/>
      <c r="L305" s="44"/>
      <c r="M305" s="40" t="str">
        <f t="shared" si="9"/>
        <v/>
      </c>
      <c r="N305" s="38" t="str">
        <f ca="1">IF(M305="","",IF(M305="","",IF(OR(IFERROR(INDEX('Calibration Schedule'!J:J,MATCH(B305,'Calibration Schedule'!C:C,0)),"")="Sent for calibration",IFERROR(INDEX('Calibration Schedule'!J:J,MATCH(B305,'Calibration Schedule'!C:C,0)),"")="Scheduled for calibration"),IFERROR(INDEX('Calibration Schedule'!J:J,MATCH(B305,'Calibration Schedule'!C:C,0)),""),IF(M305&lt;TODAY(),"Expired",IF(M305&lt;=TODAY()+30,"Expiring Soon","Pass")))))</f>
        <v/>
      </c>
      <c r="O305" s="43"/>
      <c r="P305" s="42"/>
      <c r="Q305" s="42"/>
      <c r="R305" s="52"/>
    </row>
    <row r="306" spans="1:18">
      <c r="A306" s="38" t="str">
        <f t="shared" si="8"/>
        <v/>
      </c>
      <c r="B306" s="39"/>
      <c r="C306" s="38"/>
      <c r="D306" s="38"/>
      <c r="E306" s="39"/>
      <c r="F306" s="39"/>
      <c r="G306" s="39"/>
      <c r="H306" s="10"/>
      <c r="I306" s="38"/>
      <c r="J306" s="38"/>
      <c r="K306" s="38"/>
      <c r="L306" s="40"/>
      <c r="M306" s="40" t="str">
        <f t="shared" si="9"/>
        <v/>
      </c>
      <c r="N306" s="38" t="str">
        <f ca="1">IF(M306="","",IF(M306="","",IF(OR(IFERROR(INDEX('Calibration Schedule'!J:J,MATCH(B306,'Calibration Schedule'!C:C,0)),"")="Sent for calibration",IFERROR(INDEX('Calibration Schedule'!J:J,MATCH(B306,'Calibration Schedule'!C:C,0)),"")="Scheduled for calibration"),IFERROR(INDEX('Calibration Schedule'!J:J,MATCH(B306,'Calibration Schedule'!C:C,0)),""),IF(M306&lt;TODAY(),"Expired",IF(M306&lt;=TODAY()+30,"Expiring Soon","Pass")))))</f>
        <v/>
      </c>
      <c r="O306" s="10"/>
      <c r="P306" s="38"/>
      <c r="Q306" s="38"/>
      <c r="R306" s="52"/>
    </row>
    <row r="307" spans="1:18">
      <c r="A307" s="38" t="str">
        <f t="shared" si="8"/>
        <v/>
      </c>
      <c r="B307" s="41"/>
      <c r="C307" s="42"/>
      <c r="D307" s="42"/>
      <c r="E307" s="41"/>
      <c r="F307" s="41"/>
      <c r="G307" s="41"/>
      <c r="H307" s="43"/>
      <c r="I307" s="42"/>
      <c r="J307" s="42"/>
      <c r="K307" s="42"/>
      <c r="L307" s="44"/>
      <c r="M307" s="40" t="str">
        <f t="shared" si="9"/>
        <v/>
      </c>
      <c r="N307" s="38" t="str">
        <f ca="1">IF(M307="","",IF(M307="","",IF(OR(IFERROR(INDEX('Calibration Schedule'!J:J,MATCH(B307,'Calibration Schedule'!C:C,0)),"")="Sent for calibration",IFERROR(INDEX('Calibration Schedule'!J:J,MATCH(B307,'Calibration Schedule'!C:C,0)),"")="Scheduled for calibration"),IFERROR(INDEX('Calibration Schedule'!J:J,MATCH(B307,'Calibration Schedule'!C:C,0)),""),IF(M307&lt;TODAY(),"Expired",IF(M307&lt;=TODAY()+30,"Expiring Soon","Pass")))))</f>
        <v/>
      </c>
      <c r="O307" s="43"/>
      <c r="P307" s="42"/>
      <c r="Q307" s="42"/>
      <c r="R307" s="52"/>
    </row>
    <row r="308" spans="1:18">
      <c r="A308" s="38" t="str">
        <f t="shared" si="8"/>
        <v/>
      </c>
      <c r="B308" s="39"/>
      <c r="C308" s="38"/>
      <c r="D308" s="38"/>
      <c r="E308" s="39"/>
      <c r="F308" s="39"/>
      <c r="G308" s="39"/>
      <c r="H308" s="10"/>
      <c r="I308" s="38"/>
      <c r="J308" s="38"/>
      <c r="K308" s="38"/>
      <c r="L308" s="40"/>
      <c r="M308" s="40" t="str">
        <f t="shared" si="9"/>
        <v/>
      </c>
      <c r="N308" s="38" t="str">
        <f ca="1">IF(M308="","",IF(M308="","",IF(OR(IFERROR(INDEX('Calibration Schedule'!J:J,MATCH(B308,'Calibration Schedule'!C:C,0)),"")="Sent for calibration",IFERROR(INDEX('Calibration Schedule'!J:J,MATCH(B308,'Calibration Schedule'!C:C,0)),"")="Scheduled for calibration"),IFERROR(INDEX('Calibration Schedule'!J:J,MATCH(B308,'Calibration Schedule'!C:C,0)),""),IF(M308&lt;TODAY(),"Expired",IF(M308&lt;=TODAY()+30,"Expiring Soon","Pass")))))</f>
        <v/>
      </c>
      <c r="O308" s="10"/>
      <c r="P308" s="38"/>
      <c r="Q308" s="38"/>
      <c r="R308" s="52"/>
    </row>
    <row r="309" spans="1:18">
      <c r="A309" s="38" t="str">
        <f t="shared" si="8"/>
        <v/>
      </c>
      <c r="B309" s="41"/>
      <c r="C309" s="42"/>
      <c r="D309" s="42"/>
      <c r="E309" s="41"/>
      <c r="F309" s="41"/>
      <c r="G309" s="41"/>
      <c r="H309" s="43"/>
      <c r="I309" s="42"/>
      <c r="J309" s="42"/>
      <c r="K309" s="42"/>
      <c r="L309" s="44"/>
      <c r="M309" s="40" t="str">
        <f t="shared" si="9"/>
        <v/>
      </c>
      <c r="N309" s="38" t="str">
        <f ca="1">IF(M309="","",IF(M309="","",IF(OR(IFERROR(INDEX('Calibration Schedule'!J:J,MATCH(B309,'Calibration Schedule'!C:C,0)),"")="Sent for calibration",IFERROR(INDEX('Calibration Schedule'!J:J,MATCH(B309,'Calibration Schedule'!C:C,0)),"")="Scheduled for calibration"),IFERROR(INDEX('Calibration Schedule'!J:J,MATCH(B309,'Calibration Schedule'!C:C,0)),""),IF(M309&lt;TODAY(),"Expired",IF(M309&lt;=TODAY()+30,"Expiring Soon","Pass")))))</f>
        <v/>
      </c>
      <c r="O309" s="43"/>
      <c r="P309" s="42"/>
      <c r="Q309" s="42"/>
      <c r="R309" s="52"/>
    </row>
    <row r="310" spans="1:18">
      <c r="A310" s="38" t="str">
        <f t="shared" si="8"/>
        <v/>
      </c>
      <c r="B310" s="39"/>
      <c r="C310" s="38"/>
      <c r="D310" s="38"/>
      <c r="E310" s="39"/>
      <c r="F310" s="39"/>
      <c r="G310" s="39"/>
      <c r="H310" s="10"/>
      <c r="I310" s="38"/>
      <c r="J310" s="38"/>
      <c r="K310" s="38"/>
      <c r="L310" s="40"/>
      <c r="M310" s="40" t="str">
        <f t="shared" si="9"/>
        <v/>
      </c>
      <c r="N310" s="38" t="str">
        <f ca="1">IF(M310="","",IF(M310="","",IF(OR(IFERROR(INDEX('Calibration Schedule'!J:J,MATCH(B310,'Calibration Schedule'!C:C,0)),"")="Sent for calibration",IFERROR(INDEX('Calibration Schedule'!J:J,MATCH(B310,'Calibration Schedule'!C:C,0)),"")="Scheduled for calibration"),IFERROR(INDEX('Calibration Schedule'!J:J,MATCH(B310,'Calibration Schedule'!C:C,0)),""),IF(M310&lt;TODAY(),"Expired",IF(M310&lt;=TODAY()+30,"Expiring Soon","Pass")))))</f>
        <v/>
      </c>
      <c r="O310" s="10"/>
      <c r="P310" s="38"/>
      <c r="Q310" s="38"/>
      <c r="R310" s="52"/>
    </row>
    <row r="311" spans="1:18">
      <c r="A311" s="38" t="str">
        <f t="shared" si="8"/>
        <v/>
      </c>
      <c r="B311" s="41"/>
      <c r="C311" s="42"/>
      <c r="D311" s="42"/>
      <c r="E311" s="41"/>
      <c r="F311" s="41"/>
      <c r="G311" s="41"/>
      <c r="H311" s="43"/>
      <c r="I311" s="42"/>
      <c r="J311" s="42"/>
      <c r="K311" s="42"/>
      <c r="L311" s="44"/>
      <c r="M311" s="40" t="str">
        <f t="shared" si="9"/>
        <v/>
      </c>
      <c r="N311" s="38" t="str">
        <f ca="1">IF(M311="","",IF(M311="","",IF(OR(IFERROR(INDEX('Calibration Schedule'!J:J,MATCH(B311,'Calibration Schedule'!C:C,0)),"")="Sent for calibration",IFERROR(INDEX('Calibration Schedule'!J:J,MATCH(B311,'Calibration Schedule'!C:C,0)),"")="Scheduled for calibration"),IFERROR(INDEX('Calibration Schedule'!J:J,MATCH(B311,'Calibration Schedule'!C:C,0)),""),IF(M311&lt;TODAY(),"Expired",IF(M311&lt;=TODAY()+30,"Expiring Soon","Pass")))))</f>
        <v/>
      </c>
      <c r="O311" s="43"/>
      <c r="P311" s="42"/>
      <c r="Q311" s="42"/>
      <c r="R311" s="52"/>
    </row>
    <row r="312" spans="1:18">
      <c r="A312" s="38" t="str">
        <f t="shared" si="8"/>
        <v/>
      </c>
      <c r="B312" s="39"/>
      <c r="C312" s="38"/>
      <c r="D312" s="38"/>
      <c r="E312" s="39"/>
      <c r="F312" s="39"/>
      <c r="G312" s="39"/>
      <c r="H312" s="10"/>
      <c r="I312" s="38"/>
      <c r="J312" s="38"/>
      <c r="K312" s="38"/>
      <c r="L312" s="40"/>
      <c r="M312" s="40" t="str">
        <f t="shared" si="9"/>
        <v/>
      </c>
      <c r="N312" s="38" t="str">
        <f ca="1">IF(M312="","",IF(M312="","",IF(OR(IFERROR(INDEX('Calibration Schedule'!J:J,MATCH(B312,'Calibration Schedule'!C:C,0)),"")="Sent for calibration",IFERROR(INDEX('Calibration Schedule'!J:J,MATCH(B312,'Calibration Schedule'!C:C,0)),"")="Scheduled for calibration"),IFERROR(INDEX('Calibration Schedule'!J:J,MATCH(B312,'Calibration Schedule'!C:C,0)),""),IF(M312&lt;TODAY(),"Expired",IF(M312&lt;=TODAY()+30,"Expiring Soon","Pass")))))</f>
        <v/>
      </c>
      <c r="O312" s="10"/>
      <c r="P312" s="38"/>
      <c r="Q312" s="38"/>
      <c r="R312" s="52"/>
    </row>
    <row r="313" spans="1:18">
      <c r="A313" s="38" t="str">
        <f t="shared" si="8"/>
        <v/>
      </c>
      <c r="B313" s="41"/>
      <c r="C313" s="42"/>
      <c r="D313" s="42"/>
      <c r="E313" s="41"/>
      <c r="F313" s="41"/>
      <c r="G313" s="41"/>
      <c r="H313" s="43"/>
      <c r="I313" s="42"/>
      <c r="J313" s="42"/>
      <c r="K313" s="42"/>
      <c r="L313" s="44"/>
      <c r="M313" s="40" t="str">
        <f t="shared" si="9"/>
        <v/>
      </c>
      <c r="N313" s="38" t="str">
        <f ca="1">IF(M313="","",IF(M313="","",IF(OR(IFERROR(INDEX('Calibration Schedule'!J:J,MATCH(B313,'Calibration Schedule'!C:C,0)),"")="Sent for calibration",IFERROR(INDEX('Calibration Schedule'!J:J,MATCH(B313,'Calibration Schedule'!C:C,0)),"")="Scheduled for calibration"),IFERROR(INDEX('Calibration Schedule'!J:J,MATCH(B313,'Calibration Schedule'!C:C,0)),""),IF(M313&lt;TODAY(),"Expired",IF(M313&lt;=TODAY()+30,"Expiring Soon","Pass")))))</f>
        <v/>
      </c>
      <c r="O313" s="43"/>
      <c r="P313" s="42"/>
      <c r="Q313" s="42"/>
      <c r="R313" s="52"/>
    </row>
    <row r="314" spans="1:18">
      <c r="A314" s="38" t="str">
        <f t="shared" si="8"/>
        <v/>
      </c>
      <c r="B314" s="39"/>
      <c r="C314" s="38"/>
      <c r="D314" s="38"/>
      <c r="E314" s="39"/>
      <c r="F314" s="39"/>
      <c r="G314" s="39"/>
      <c r="H314" s="10"/>
      <c r="I314" s="38"/>
      <c r="J314" s="38"/>
      <c r="K314" s="38"/>
      <c r="L314" s="40"/>
      <c r="M314" s="40" t="str">
        <f t="shared" si="9"/>
        <v/>
      </c>
      <c r="N314" s="38" t="str">
        <f ca="1">IF(M314="","",IF(M314="","",IF(OR(IFERROR(INDEX('Calibration Schedule'!J:J,MATCH(B314,'Calibration Schedule'!C:C,0)),"")="Sent for calibration",IFERROR(INDEX('Calibration Schedule'!J:J,MATCH(B314,'Calibration Schedule'!C:C,0)),"")="Scheduled for calibration"),IFERROR(INDEX('Calibration Schedule'!J:J,MATCH(B314,'Calibration Schedule'!C:C,0)),""),IF(M314&lt;TODAY(),"Expired",IF(M314&lt;=TODAY()+30,"Expiring Soon","Pass")))))</f>
        <v/>
      </c>
      <c r="O314" s="10"/>
      <c r="P314" s="38"/>
      <c r="Q314" s="38"/>
      <c r="R314" s="52"/>
    </row>
    <row r="315" spans="1:18">
      <c r="A315" s="38" t="str">
        <f t="shared" si="8"/>
        <v/>
      </c>
      <c r="B315" s="41"/>
      <c r="C315" s="42"/>
      <c r="D315" s="42"/>
      <c r="E315" s="41"/>
      <c r="F315" s="41"/>
      <c r="G315" s="41"/>
      <c r="H315" s="43"/>
      <c r="I315" s="42"/>
      <c r="J315" s="42"/>
      <c r="K315" s="42"/>
      <c r="L315" s="44"/>
      <c r="M315" s="40" t="str">
        <f t="shared" si="9"/>
        <v/>
      </c>
      <c r="N315" s="38" t="str">
        <f ca="1">IF(M315="","",IF(M315="","",IF(OR(IFERROR(INDEX('Calibration Schedule'!J:J,MATCH(B315,'Calibration Schedule'!C:C,0)),"")="Sent for calibration",IFERROR(INDEX('Calibration Schedule'!J:J,MATCH(B315,'Calibration Schedule'!C:C,0)),"")="Scheduled for calibration"),IFERROR(INDEX('Calibration Schedule'!J:J,MATCH(B315,'Calibration Schedule'!C:C,0)),""),IF(M315&lt;TODAY(),"Expired",IF(M315&lt;=TODAY()+30,"Expiring Soon","Pass")))))</f>
        <v/>
      </c>
      <c r="O315" s="43"/>
      <c r="P315" s="42"/>
      <c r="Q315" s="42"/>
      <c r="R315" s="52"/>
    </row>
    <row r="316" spans="1:18">
      <c r="A316" s="38" t="str">
        <f t="shared" si="8"/>
        <v/>
      </c>
      <c r="B316" s="39"/>
      <c r="C316" s="38"/>
      <c r="D316" s="38"/>
      <c r="E316" s="39"/>
      <c r="F316" s="39"/>
      <c r="G316" s="39"/>
      <c r="H316" s="10"/>
      <c r="I316" s="38"/>
      <c r="J316" s="38"/>
      <c r="K316" s="38"/>
      <c r="L316" s="40"/>
      <c r="M316" s="40" t="str">
        <f t="shared" si="9"/>
        <v/>
      </c>
      <c r="N316" s="38" t="str">
        <f ca="1">IF(M316="","",IF(M316="","",IF(OR(IFERROR(INDEX('Calibration Schedule'!J:J,MATCH(B316,'Calibration Schedule'!C:C,0)),"")="Sent for calibration",IFERROR(INDEX('Calibration Schedule'!J:J,MATCH(B316,'Calibration Schedule'!C:C,0)),"")="Scheduled for calibration"),IFERROR(INDEX('Calibration Schedule'!J:J,MATCH(B316,'Calibration Schedule'!C:C,0)),""),IF(M316&lt;TODAY(),"Expired",IF(M316&lt;=TODAY()+30,"Expiring Soon","Pass")))))</f>
        <v/>
      </c>
      <c r="O316" s="10"/>
      <c r="P316" s="38"/>
      <c r="Q316" s="38"/>
      <c r="R316" s="52"/>
    </row>
    <row r="317" spans="1:18">
      <c r="A317" s="38" t="str">
        <f t="shared" si="8"/>
        <v/>
      </c>
      <c r="B317" s="41"/>
      <c r="C317" s="42"/>
      <c r="D317" s="42"/>
      <c r="E317" s="41"/>
      <c r="F317" s="41"/>
      <c r="G317" s="41"/>
      <c r="H317" s="43"/>
      <c r="I317" s="42"/>
      <c r="J317" s="42"/>
      <c r="K317" s="42"/>
      <c r="L317" s="44"/>
      <c r="M317" s="40" t="str">
        <f t="shared" si="9"/>
        <v/>
      </c>
      <c r="N317" s="38" t="str">
        <f ca="1">IF(M317="","",IF(M317="","",IF(OR(IFERROR(INDEX('Calibration Schedule'!J:J,MATCH(B317,'Calibration Schedule'!C:C,0)),"")="Sent for calibration",IFERROR(INDEX('Calibration Schedule'!J:J,MATCH(B317,'Calibration Schedule'!C:C,0)),"")="Scheduled for calibration"),IFERROR(INDEX('Calibration Schedule'!J:J,MATCH(B317,'Calibration Schedule'!C:C,0)),""),IF(M317&lt;TODAY(),"Expired",IF(M317&lt;=TODAY()+30,"Expiring Soon","Pass")))))</f>
        <v/>
      </c>
      <c r="O317" s="43"/>
      <c r="P317" s="42"/>
      <c r="Q317" s="42"/>
      <c r="R317" s="52"/>
    </row>
    <row r="318" spans="1:18">
      <c r="A318" s="38" t="str">
        <f t="shared" si="8"/>
        <v/>
      </c>
      <c r="B318" s="39"/>
      <c r="C318" s="38"/>
      <c r="D318" s="38"/>
      <c r="E318" s="39"/>
      <c r="F318" s="39"/>
      <c r="G318" s="39"/>
      <c r="H318" s="10"/>
      <c r="I318" s="38"/>
      <c r="J318" s="38"/>
      <c r="K318" s="38"/>
      <c r="L318" s="40"/>
      <c r="M318" s="40" t="str">
        <f t="shared" si="9"/>
        <v/>
      </c>
      <c r="N318" s="38" t="str">
        <f ca="1">IF(M318="","",IF(M318="","",IF(OR(IFERROR(INDEX('Calibration Schedule'!J:J,MATCH(B318,'Calibration Schedule'!C:C,0)),"")="Sent for calibration",IFERROR(INDEX('Calibration Schedule'!J:J,MATCH(B318,'Calibration Schedule'!C:C,0)),"")="Scheduled for calibration"),IFERROR(INDEX('Calibration Schedule'!J:J,MATCH(B318,'Calibration Schedule'!C:C,0)),""),IF(M318&lt;TODAY(),"Expired",IF(M318&lt;=TODAY()+30,"Expiring Soon","Pass")))))</f>
        <v/>
      </c>
      <c r="O318" s="10"/>
      <c r="P318" s="38"/>
      <c r="Q318" s="38"/>
      <c r="R318" s="52"/>
    </row>
    <row r="319" spans="1:18">
      <c r="A319" s="38" t="str">
        <f t="shared" si="8"/>
        <v/>
      </c>
      <c r="B319" s="41"/>
      <c r="C319" s="42"/>
      <c r="D319" s="42"/>
      <c r="E319" s="41"/>
      <c r="F319" s="41"/>
      <c r="G319" s="41"/>
      <c r="H319" s="43"/>
      <c r="I319" s="42"/>
      <c r="J319" s="42"/>
      <c r="K319" s="42"/>
      <c r="L319" s="44"/>
      <c r="M319" s="40" t="str">
        <f t="shared" si="9"/>
        <v/>
      </c>
      <c r="N319" s="38" t="str">
        <f ca="1">IF(M319="","",IF(M319="","",IF(OR(IFERROR(INDEX('Calibration Schedule'!J:J,MATCH(B319,'Calibration Schedule'!C:C,0)),"")="Sent for calibration",IFERROR(INDEX('Calibration Schedule'!J:J,MATCH(B319,'Calibration Schedule'!C:C,0)),"")="Scheduled for calibration"),IFERROR(INDEX('Calibration Schedule'!J:J,MATCH(B319,'Calibration Schedule'!C:C,0)),""),IF(M319&lt;TODAY(),"Expired",IF(M319&lt;=TODAY()+30,"Expiring Soon","Pass")))))</f>
        <v/>
      </c>
      <c r="O319" s="43"/>
      <c r="P319" s="42"/>
      <c r="Q319" s="42"/>
      <c r="R319" s="52"/>
    </row>
    <row r="320" spans="1:18">
      <c r="A320" s="38" t="str">
        <f t="shared" si="8"/>
        <v/>
      </c>
      <c r="B320" s="39"/>
      <c r="C320" s="38"/>
      <c r="D320" s="38"/>
      <c r="E320" s="39"/>
      <c r="F320" s="39"/>
      <c r="G320" s="39"/>
      <c r="H320" s="10"/>
      <c r="I320" s="38"/>
      <c r="J320" s="38"/>
      <c r="K320" s="38"/>
      <c r="L320" s="40"/>
      <c r="M320" s="40" t="str">
        <f t="shared" si="9"/>
        <v/>
      </c>
      <c r="N320" s="38" t="str">
        <f ca="1">IF(M320="","",IF(M320="","",IF(OR(IFERROR(INDEX('Calibration Schedule'!J:J,MATCH(B320,'Calibration Schedule'!C:C,0)),"")="Sent for calibration",IFERROR(INDEX('Calibration Schedule'!J:J,MATCH(B320,'Calibration Schedule'!C:C,0)),"")="Scheduled for calibration"),IFERROR(INDEX('Calibration Schedule'!J:J,MATCH(B320,'Calibration Schedule'!C:C,0)),""),IF(M320&lt;TODAY(),"Expired",IF(M320&lt;=TODAY()+30,"Expiring Soon","Pass")))))</f>
        <v/>
      </c>
      <c r="O320" s="10"/>
      <c r="P320" s="38"/>
      <c r="Q320" s="38"/>
      <c r="R320" s="52"/>
    </row>
    <row r="321" spans="1:18">
      <c r="A321" s="38" t="str">
        <f t="shared" si="8"/>
        <v/>
      </c>
      <c r="B321" s="41"/>
      <c r="C321" s="42"/>
      <c r="D321" s="42"/>
      <c r="E321" s="41"/>
      <c r="F321" s="41"/>
      <c r="G321" s="41"/>
      <c r="H321" s="43"/>
      <c r="I321" s="42"/>
      <c r="J321" s="42"/>
      <c r="K321" s="42"/>
      <c r="L321" s="44"/>
      <c r="M321" s="40" t="str">
        <f t="shared" si="9"/>
        <v/>
      </c>
      <c r="N321" s="38" t="str">
        <f ca="1">IF(M321="","",IF(M321="","",IF(OR(IFERROR(INDEX('Calibration Schedule'!J:J,MATCH(B321,'Calibration Schedule'!C:C,0)),"")="Sent for calibration",IFERROR(INDEX('Calibration Schedule'!J:J,MATCH(B321,'Calibration Schedule'!C:C,0)),"")="Scheduled for calibration"),IFERROR(INDEX('Calibration Schedule'!J:J,MATCH(B321,'Calibration Schedule'!C:C,0)),""),IF(M321&lt;TODAY(),"Expired",IF(M321&lt;=TODAY()+30,"Expiring Soon","Pass")))))</f>
        <v/>
      </c>
      <c r="O321" s="43"/>
      <c r="P321" s="42"/>
      <c r="Q321" s="42"/>
      <c r="R321" s="52"/>
    </row>
    <row r="322" spans="1:18">
      <c r="A322" s="38" t="str">
        <f t="shared" si="8"/>
        <v/>
      </c>
      <c r="B322" s="39"/>
      <c r="C322" s="38"/>
      <c r="D322" s="38"/>
      <c r="E322" s="39"/>
      <c r="F322" s="39"/>
      <c r="G322" s="39"/>
      <c r="H322" s="10"/>
      <c r="I322" s="38"/>
      <c r="J322" s="38"/>
      <c r="K322" s="38"/>
      <c r="L322" s="40"/>
      <c r="M322" s="40" t="str">
        <f t="shared" si="9"/>
        <v/>
      </c>
      <c r="N322" s="38" t="str">
        <f ca="1">IF(M322="","",IF(M322="","",IF(OR(IFERROR(INDEX('Calibration Schedule'!J:J,MATCH(B322,'Calibration Schedule'!C:C,0)),"")="Sent for calibration",IFERROR(INDEX('Calibration Schedule'!J:J,MATCH(B322,'Calibration Schedule'!C:C,0)),"")="Scheduled for calibration"),IFERROR(INDEX('Calibration Schedule'!J:J,MATCH(B322,'Calibration Schedule'!C:C,0)),""),IF(M322&lt;TODAY(),"Expired",IF(M322&lt;=TODAY()+30,"Expiring Soon","Pass")))))</f>
        <v/>
      </c>
      <c r="O322" s="10"/>
      <c r="P322" s="38"/>
      <c r="Q322" s="38"/>
      <c r="R322" s="52"/>
    </row>
    <row r="323" spans="1:18">
      <c r="A323" s="38" t="str">
        <f t="shared" si="8"/>
        <v/>
      </c>
      <c r="B323" s="41"/>
      <c r="C323" s="42"/>
      <c r="D323" s="42"/>
      <c r="E323" s="41"/>
      <c r="F323" s="41"/>
      <c r="G323" s="41"/>
      <c r="H323" s="43"/>
      <c r="I323" s="42"/>
      <c r="J323" s="42"/>
      <c r="K323" s="42"/>
      <c r="L323" s="44"/>
      <c r="M323" s="40" t="str">
        <f t="shared" si="9"/>
        <v/>
      </c>
      <c r="N323" s="38" t="str">
        <f ca="1">IF(M323="","",IF(M323="","",IF(OR(IFERROR(INDEX('Calibration Schedule'!J:J,MATCH(B323,'Calibration Schedule'!C:C,0)),"")="Sent for calibration",IFERROR(INDEX('Calibration Schedule'!J:J,MATCH(B323,'Calibration Schedule'!C:C,0)),"")="Scheduled for calibration"),IFERROR(INDEX('Calibration Schedule'!J:J,MATCH(B323,'Calibration Schedule'!C:C,0)),""),IF(M323&lt;TODAY(),"Expired",IF(M323&lt;=TODAY()+30,"Expiring Soon","Pass")))))</f>
        <v/>
      </c>
      <c r="O323" s="43"/>
      <c r="P323" s="42"/>
      <c r="Q323" s="42"/>
      <c r="R323" s="52"/>
    </row>
    <row r="324" spans="1:18">
      <c r="A324" s="38" t="str">
        <f t="shared" ref="A324:A387" si="10">IF(B324="","",ROW(B324)-3)</f>
        <v/>
      </c>
      <c r="B324" s="39"/>
      <c r="C324" s="38"/>
      <c r="D324" s="38"/>
      <c r="E324" s="39"/>
      <c r="F324" s="39"/>
      <c r="G324" s="39"/>
      <c r="H324" s="10"/>
      <c r="I324" s="38"/>
      <c r="J324" s="38"/>
      <c r="K324" s="38"/>
      <c r="L324" s="40"/>
      <c r="M324" s="40" t="str">
        <f t="shared" si="9"/>
        <v/>
      </c>
      <c r="N324" s="38" t="str">
        <f ca="1">IF(M324="","",IF(M324="","",IF(OR(IFERROR(INDEX('Calibration Schedule'!J:J,MATCH(B324,'Calibration Schedule'!C:C,0)),"")="Sent for calibration",IFERROR(INDEX('Calibration Schedule'!J:J,MATCH(B324,'Calibration Schedule'!C:C,0)),"")="Scheduled for calibration"),IFERROR(INDEX('Calibration Schedule'!J:J,MATCH(B324,'Calibration Schedule'!C:C,0)),""),IF(M324&lt;TODAY(),"Expired",IF(M324&lt;=TODAY()+30,"Expiring Soon","Pass")))))</f>
        <v/>
      </c>
      <c r="O324" s="10"/>
      <c r="P324" s="38"/>
      <c r="Q324" s="38"/>
      <c r="R324" s="52"/>
    </row>
    <row r="325" spans="1:18">
      <c r="A325" s="38" t="str">
        <f t="shared" si="10"/>
        <v/>
      </c>
      <c r="B325" s="41"/>
      <c r="C325" s="42"/>
      <c r="D325" s="42"/>
      <c r="E325" s="41"/>
      <c r="F325" s="41"/>
      <c r="G325" s="41"/>
      <c r="H325" s="43"/>
      <c r="I325" s="42"/>
      <c r="J325" s="42"/>
      <c r="K325" s="42"/>
      <c r="L325" s="44"/>
      <c r="M325" s="40" t="str">
        <f t="shared" ref="M325:M388" si="11">IF(B325="","",IF(K325="Not Eligible","",IFERROR(EDATE(L325,K325),"")))</f>
        <v/>
      </c>
      <c r="N325" s="38" t="str">
        <f ca="1">IF(M325="","",IF(M325="","",IF(OR(IFERROR(INDEX('Calibration Schedule'!J:J,MATCH(B325,'Calibration Schedule'!C:C,0)),"")="Sent for calibration",IFERROR(INDEX('Calibration Schedule'!J:J,MATCH(B325,'Calibration Schedule'!C:C,0)),"")="Scheduled for calibration"),IFERROR(INDEX('Calibration Schedule'!J:J,MATCH(B325,'Calibration Schedule'!C:C,0)),""),IF(M325&lt;TODAY(),"Expired",IF(M325&lt;=TODAY()+30,"Expiring Soon","Pass")))))</f>
        <v/>
      </c>
      <c r="O325" s="43"/>
      <c r="P325" s="42"/>
      <c r="Q325" s="42"/>
      <c r="R325" s="52"/>
    </row>
    <row r="326" spans="1:18">
      <c r="A326" s="38" t="str">
        <f t="shared" si="10"/>
        <v/>
      </c>
      <c r="B326" s="39"/>
      <c r="C326" s="38"/>
      <c r="D326" s="38"/>
      <c r="E326" s="39"/>
      <c r="F326" s="39"/>
      <c r="G326" s="39"/>
      <c r="H326" s="10"/>
      <c r="I326" s="38"/>
      <c r="J326" s="38"/>
      <c r="K326" s="38"/>
      <c r="L326" s="40"/>
      <c r="M326" s="40" t="str">
        <f t="shared" si="11"/>
        <v/>
      </c>
      <c r="N326" s="38" t="str">
        <f ca="1">IF(M326="","",IF(M326="","",IF(OR(IFERROR(INDEX('Calibration Schedule'!J:J,MATCH(B326,'Calibration Schedule'!C:C,0)),"")="Sent for calibration",IFERROR(INDEX('Calibration Schedule'!J:J,MATCH(B326,'Calibration Schedule'!C:C,0)),"")="Scheduled for calibration"),IFERROR(INDEX('Calibration Schedule'!J:J,MATCH(B326,'Calibration Schedule'!C:C,0)),""),IF(M326&lt;TODAY(),"Expired",IF(M326&lt;=TODAY()+30,"Expiring Soon","Pass")))))</f>
        <v/>
      </c>
      <c r="O326" s="10"/>
      <c r="P326" s="38"/>
      <c r="Q326" s="38"/>
      <c r="R326" s="52"/>
    </row>
    <row r="327" spans="1:18">
      <c r="A327" s="38" t="str">
        <f t="shared" si="10"/>
        <v/>
      </c>
      <c r="B327" s="41"/>
      <c r="C327" s="42"/>
      <c r="D327" s="42"/>
      <c r="E327" s="41"/>
      <c r="F327" s="41"/>
      <c r="G327" s="41"/>
      <c r="H327" s="43"/>
      <c r="I327" s="42"/>
      <c r="J327" s="42"/>
      <c r="K327" s="42"/>
      <c r="L327" s="44"/>
      <c r="M327" s="40" t="str">
        <f t="shared" si="11"/>
        <v/>
      </c>
      <c r="N327" s="38" t="str">
        <f ca="1">IF(M327="","",IF(M327="","",IF(OR(IFERROR(INDEX('Calibration Schedule'!J:J,MATCH(B327,'Calibration Schedule'!C:C,0)),"")="Sent for calibration",IFERROR(INDEX('Calibration Schedule'!J:J,MATCH(B327,'Calibration Schedule'!C:C,0)),"")="Scheduled for calibration"),IFERROR(INDEX('Calibration Schedule'!J:J,MATCH(B327,'Calibration Schedule'!C:C,0)),""),IF(M327&lt;TODAY(),"Expired",IF(M327&lt;=TODAY()+30,"Expiring Soon","Pass")))))</f>
        <v/>
      </c>
      <c r="O327" s="43"/>
      <c r="P327" s="42"/>
      <c r="Q327" s="42"/>
      <c r="R327" s="52"/>
    </row>
    <row r="328" spans="1:18">
      <c r="A328" s="38" t="str">
        <f t="shared" si="10"/>
        <v/>
      </c>
      <c r="B328" s="39"/>
      <c r="C328" s="38"/>
      <c r="D328" s="38"/>
      <c r="E328" s="39"/>
      <c r="F328" s="39"/>
      <c r="G328" s="39"/>
      <c r="H328" s="10"/>
      <c r="I328" s="38"/>
      <c r="J328" s="38"/>
      <c r="K328" s="38"/>
      <c r="L328" s="40"/>
      <c r="M328" s="40" t="str">
        <f t="shared" si="11"/>
        <v/>
      </c>
      <c r="N328" s="38" t="str">
        <f ca="1">IF(M328="","",IF(M328="","",IF(OR(IFERROR(INDEX('Calibration Schedule'!J:J,MATCH(B328,'Calibration Schedule'!C:C,0)),"")="Sent for calibration",IFERROR(INDEX('Calibration Schedule'!J:J,MATCH(B328,'Calibration Schedule'!C:C,0)),"")="Scheduled for calibration"),IFERROR(INDEX('Calibration Schedule'!J:J,MATCH(B328,'Calibration Schedule'!C:C,0)),""),IF(M328&lt;TODAY(),"Expired",IF(M328&lt;=TODAY()+30,"Expiring Soon","Pass")))))</f>
        <v/>
      </c>
      <c r="O328" s="10"/>
      <c r="P328" s="38"/>
      <c r="Q328" s="38"/>
      <c r="R328" s="52"/>
    </row>
    <row r="329" spans="1:18">
      <c r="A329" s="38" t="str">
        <f t="shared" si="10"/>
        <v/>
      </c>
      <c r="B329" s="41"/>
      <c r="C329" s="42"/>
      <c r="D329" s="42"/>
      <c r="E329" s="41"/>
      <c r="F329" s="41"/>
      <c r="G329" s="41"/>
      <c r="H329" s="43"/>
      <c r="I329" s="42"/>
      <c r="J329" s="42"/>
      <c r="K329" s="42"/>
      <c r="L329" s="44"/>
      <c r="M329" s="40" t="str">
        <f t="shared" si="11"/>
        <v/>
      </c>
      <c r="N329" s="38" t="str">
        <f ca="1">IF(M329="","",IF(M329="","",IF(OR(IFERROR(INDEX('Calibration Schedule'!J:J,MATCH(B329,'Calibration Schedule'!C:C,0)),"")="Sent for calibration",IFERROR(INDEX('Calibration Schedule'!J:J,MATCH(B329,'Calibration Schedule'!C:C,0)),"")="Scheduled for calibration"),IFERROR(INDEX('Calibration Schedule'!J:J,MATCH(B329,'Calibration Schedule'!C:C,0)),""),IF(M329&lt;TODAY(),"Expired",IF(M329&lt;=TODAY()+30,"Expiring Soon","Pass")))))</f>
        <v/>
      </c>
      <c r="O329" s="43"/>
      <c r="P329" s="42"/>
      <c r="Q329" s="42"/>
      <c r="R329" s="52"/>
    </row>
    <row r="330" spans="1:18">
      <c r="A330" s="38" t="str">
        <f t="shared" si="10"/>
        <v/>
      </c>
      <c r="B330" s="39"/>
      <c r="C330" s="38"/>
      <c r="D330" s="38"/>
      <c r="E330" s="39"/>
      <c r="F330" s="39"/>
      <c r="G330" s="39"/>
      <c r="H330" s="10"/>
      <c r="I330" s="38"/>
      <c r="J330" s="38"/>
      <c r="K330" s="38"/>
      <c r="L330" s="40"/>
      <c r="M330" s="40" t="str">
        <f t="shared" si="11"/>
        <v/>
      </c>
      <c r="N330" s="38" t="str">
        <f ca="1">IF(M330="","",IF(M330="","",IF(OR(IFERROR(INDEX('Calibration Schedule'!J:J,MATCH(B330,'Calibration Schedule'!C:C,0)),"")="Sent for calibration",IFERROR(INDEX('Calibration Schedule'!J:J,MATCH(B330,'Calibration Schedule'!C:C,0)),"")="Scheduled for calibration"),IFERROR(INDEX('Calibration Schedule'!J:J,MATCH(B330,'Calibration Schedule'!C:C,0)),""),IF(M330&lt;TODAY(),"Expired",IF(M330&lt;=TODAY()+30,"Expiring Soon","Pass")))))</f>
        <v/>
      </c>
      <c r="O330" s="10"/>
      <c r="P330" s="38"/>
      <c r="Q330" s="38"/>
      <c r="R330" s="52"/>
    </row>
    <row r="331" spans="1:18">
      <c r="A331" s="38" t="str">
        <f t="shared" si="10"/>
        <v/>
      </c>
      <c r="B331" s="41"/>
      <c r="C331" s="42"/>
      <c r="D331" s="42"/>
      <c r="E331" s="41"/>
      <c r="F331" s="41"/>
      <c r="G331" s="41"/>
      <c r="H331" s="43"/>
      <c r="I331" s="42"/>
      <c r="J331" s="42"/>
      <c r="K331" s="42"/>
      <c r="L331" s="44"/>
      <c r="M331" s="40" t="str">
        <f t="shared" si="11"/>
        <v/>
      </c>
      <c r="N331" s="38" t="str">
        <f ca="1">IF(M331="","",IF(M331="","",IF(OR(IFERROR(INDEX('Calibration Schedule'!J:J,MATCH(B331,'Calibration Schedule'!C:C,0)),"")="Sent for calibration",IFERROR(INDEX('Calibration Schedule'!J:J,MATCH(B331,'Calibration Schedule'!C:C,0)),"")="Scheduled for calibration"),IFERROR(INDEX('Calibration Schedule'!J:J,MATCH(B331,'Calibration Schedule'!C:C,0)),""),IF(M331&lt;TODAY(),"Expired",IF(M331&lt;=TODAY()+30,"Expiring Soon","Pass")))))</f>
        <v/>
      </c>
      <c r="O331" s="43"/>
      <c r="P331" s="42"/>
      <c r="Q331" s="42"/>
      <c r="R331" s="52"/>
    </row>
    <row r="332" spans="1:18">
      <c r="A332" s="38" t="str">
        <f t="shared" si="10"/>
        <v/>
      </c>
      <c r="B332" s="39"/>
      <c r="C332" s="38"/>
      <c r="D332" s="38"/>
      <c r="E332" s="39"/>
      <c r="F332" s="39"/>
      <c r="G332" s="39"/>
      <c r="H332" s="10"/>
      <c r="I332" s="38"/>
      <c r="J332" s="38"/>
      <c r="K332" s="38"/>
      <c r="L332" s="40"/>
      <c r="M332" s="40" t="str">
        <f t="shared" si="11"/>
        <v/>
      </c>
      <c r="N332" s="38" t="str">
        <f ca="1">IF(M332="","",IF(M332="","",IF(OR(IFERROR(INDEX('Calibration Schedule'!J:J,MATCH(B332,'Calibration Schedule'!C:C,0)),"")="Sent for calibration",IFERROR(INDEX('Calibration Schedule'!J:J,MATCH(B332,'Calibration Schedule'!C:C,0)),"")="Scheduled for calibration"),IFERROR(INDEX('Calibration Schedule'!J:J,MATCH(B332,'Calibration Schedule'!C:C,0)),""),IF(M332&lt;TODAY(),"Expired",IF(M332&lt;=TODAY()+30,"Expiring Soon","Pass")))))</f>
        <v/>
      </c>
      <c r="O332" s="10"/>
      <c r="P332" s="38"/>
      <c r="Q332" s="38"/>
      <c r="R332" s="52"/>
    </row>
    <row r="333" spans="1:18">
      <c r="A333" s="38" t="str">
        <f t="shared" si="10"/>
        <v/>
      </c>
      <c r="B333" s="41"/>
      <c r="C333" s="42"/>
      <c r="D333" s="42"/>
      <c r="E333" s="41"/>
      <c r="F333" s="41"/>
      <c r="G333" s="41"/>
      <c r="H333" s="43"/>
      <c r="I333" s="42"/>
      <c r="J333" s="42"/>
      <c r="K333" s="42"/>
      <c r="L333" s="44"/>
      <c r="M333" s="40" t="str">
        <f t="shared" si="11"/>
        <v/>
      </c>
      <c r="N333" s="38" t="str">
        <f ca="1">IF(M333="","",IF(M333="","",IF(OR(IFERROR(INDEX('Calibration Schedule'!J:J,MATCH(B333,'Calibration Schedule'!C:C,0)),"")="Sent for calibration",IFERROR(INDEX('Calibration Schedule'!J:J,MATCH(B333,'Calibration Schedule'!C:C,0)),"")="Scheduled for calibration"),IFERROR(INDEX('Calibration Schedule'!J:J,MATCH(B333,'Calibration Schedule'!C:C,0)),""),IF(M333&lt;TODAY(),"Expired",IF(M333&lt;=TODAY()+30,"Expiring Soon","Pass")))))</f>
        <v/>
      </c>
      <c r="O333" s="43"/>
      <c r="P333" s="42"/>
      <c r="Q333" s="42"/>
      <c r="R333" s="52"/>
    </row>
    <row r="334" spans="1:18">
      <c r="A334" s="38" t="str">
        <f t="shared" si="10"/>
        <v/>
      </c>
      <c r="B334" s="39"/>
      <c r="C334" s="38"/>
      <c r="D334" s="38"/>
      <c r="E334" s="39"/>
      <c r="F334" s="39"/>
      <c r="G334" s="39"/>
      <c r="H334" s="10"/>
      <c r="I334" s="38"/>
      <c r="J334" s="38"/>
      <c r="K334" s="38"/>
      <c r="L334" s="40"/>
      <c r="M334" s="40" t="str">
        <f t="shared" si="11"/>
        <v/>
      </c>
      <c r="N334" s="38" t="str">
        <f ca="1">IF(M334="","",IF(M334="","",IF(OR(IFERROR(INDEX('Calibration Schedule'!J:J,MATCH(B334,'Calibration Schedule'!C:C,0)),"")="Sent for calibration",IFERROR(INDEX('Calibration Schedule'!J:J,MATCH(B334,'Calibration Schedule'!C:C,0)),"")="Scheduled for calibration"),IFERROR(INDEX('Calibration Schedule'!J:J,MATCH(B334,'Calibration Schedule'!C:C,0)),""),IF(M334&lt;TODAY(),"Expired",IF(M334&lt;=TODAY()+30,"Expiring Soon","Pass")))))</f>
        <v/>
      </c>
      <c r="O334" s="10"/>
      <c r="P334" s="38"/>
      <c r="Q334" s="38"/>
      <c r="R334" s="52"/>
    </row>
    <row r="335" spans="1:18">
      <c r="A335" s="38" t="str">
        <f t="shared" si="10"/>
        <v/>
      </c>
      <c r="B335" s="41"/>
      <c r="C335" s="42"/>
      <c r="D335" s="42"/>
      <c r="E335" s="41"/>
      <c r="F335" s="41"/>
      <c r="G335" s="41"/>
      <c r="H335" s="43"/>
      <c r="I335" s="42"/>
      <c r="J335" s="42"/>
      <c r="K335" s="42"/>
      <c r="L335" s="44"/>
      <c r="M335" s="40" t="str">
        <f t="shared" si="11"/>
        <v/>
      </c>
      <c r="N335" s="38" t="str">
        <f ca="1">IF(M335="","",IF(M335="","",IF(OR(IFERROR(INDEX('Calibration Schedule'!J:J,MATCH(B335,'Calibration Schedule'!C:C,0)),"")="Sent for calibration",IFERROR(INDEX('Calibration Schedule'!J:J,MATCH(B335,'Calibration Schedule'!C:C,0)),"")="Scheduled for calibration"),IFERROR(INDEX('Calibration Schedule'!J:J,MATCH(B335,'Calibration Schedule'!C:C,0)),""),IF(M335&lt;TODAY(),"Expired",IF(M335&lt;=TODAY()+30,"Expiring Soon","Pass")))))</f>
        <v/>
      </c>
      <c r="O335" s="43"/>
      <c r="P335" s="42"/>
      <c r="Q335" s="42"/>
      <c r="R335" s="52"/>
    </row>
    <row r="336" spans="1:18">
      <c r="A336" s="38" t="str">
        <f t="shared" si="10"/>
        <v/>
      </c>
      <c r="B336" s="39"/>
      <c r="C336" s="38"/>
      <c r="D336" s="38"/>
      <c r="E336" s="39"/>
      <c r="F336" s="39"/>
      <c r="G336" s="39"/>
      <c r="H336" s="10"/>
      <c r="I336" s="38"/>
      <c r="J336" s="38"/>
      <c r="K336" s="38"/>
      <c r="L336" s="40"/>
      <c r="M336" s="40" t="str">
        <f t="shared" si="11"/>
        <v/>
      </c>
      <c r="N336" s="38" t="str">
        <f ca="1">IF(M336="","",IF(M336="","",IF(OR(IFERROR(INDEX('Calibration Schedule'!J:J,MATCH(B336,'Calibration Schedule'!C:C,0)),"")="Sent for calibration",IFERROR(INDEX('Calibration Schedule'!J:J,MATCH(B336,'Calibration Schedule'!C:C,0)),"")="Scheduled for calibration"),IFERROR(INDEX('Calibration Schedule'!J:J,MATCH(B336,'Calibration Schedule'!C:C,0)),""),IF(M336&lt;TODAY(),"Expired",IF(M336&lt;=TODAY()+30,"Expiring Soon","Pass")))))</f>
        <v/>
      </c>
      <c r="O336" s="10"/>
      <c r="P336" s="38"/>
      <c r="Q336" s="38"/>
      <c r="R336" s="52"/>
    </row>
    <row r="337" spans="1:18">
      <c r="A337" s="38" t="str">
        <f t="shared" si="10"/>
        <v/>
      </c>
      <c r="B337" s="41"/>
      <c r="C337" s="42"/>
      <c r="D337" s="42"/>
      <c r="E337" s="41"/>
      <c r="F337" s="41"/>
      <c r="G337" s="41"/>
      <c r="H337" s="43"/>
      <c r="I337" s="42"/>
      <c r="J337" s="42"/>
      <c r="K337" s="42"/>
      <c r="L337" s="44"/>
      <c r="M337" s="40" t="str">
        <f t="shared" si="11"/>
        <v/>
      </c>
      <c r="N337" s="38" t="str">
        <f ca="1">IF(M337="","",IF(M337="","",IF(OR(IFERROR(INDEX('Calibration Schedule'!J:J,MATCH(B337,'Calibration Schedule'!C:C,0)),"")="Sent for calibration",IFERROR(INDEX('Calibration Schedule'!J:J,MATCH(B337,'Calibration Schedule'!C:C,0)),"")="Scheduled for calibration"),IFERROR(INDEX('Calibration Schedule'!J:J,MATCH(B337,'Calibration Schedule'!C:C,0)),""),IF(M337&lt;TODAY(),"Expired",IF(M337&lt;=TODAY()+30,"Expiring Soon","Pass")))))</f>
        <v/>
      </c>
      <c r="O337" s="43"/>
      <c r="P337" s="42"/>
      <c r="Q337" s="42"/>
      <c r="R337" s="52"/>
    </row>
    <row r="338" spans="1:18">
      <c r="A338" s="38" t="str">
        <f t="shared" si="10"/>
        <v/>
      </c>
      <c r="B338" s="39"/>
      <c r="C338" s="38"/>
      <c r="D338" s="38"/>
      <c r="E338" s="39"/>
      <c r="F338" s="39"/>
      <c r="G338" s="39"/>
      <c r="H338" s="10"/>
      <c r="I338" s="38"/>
      <c r="J338" s="38"/>
      <c r="K338" s="38"/>
      <c r="L338" s="40"/>
      <c r="M338" s="40" t="str">
        <f t="shared" si="11"/>
        <v/>
      </c>
      <c r="N338" s="38" t="str">
        <f ca="1">IF(M338="","",IF(M338="","",IF(OR(IFERROR(INDEX('Calibration Schedule'!J:J,MATCH(B338,'Calibration Schedule'!C:C,0)),"")="Sent for calibration",IFERROR(INDEX('Calibration Schedule'!J:J,MATCH(B338,'Calibration Schedule'!C:C,0)),"")="Scheduled for calibration"),IFERROR(INDEX('Calibration Schedule'!J:J,MATCH(B338,'Calibration Schedule'!C:C,0)),""),IF(M338&lt;TODAY(),"Expired",IF(M338&lt;=TODAY()+30,"Expiring Soon","Pass")))))</f>
        <v/>
      </c>
      <c r="O338" s="10"/>
      <c r="P338" s="38"/>
      <c r="Q338" s="38"/>
      <c r="R338" s="52"/>
    </row>
    <row r="339" spans="1:18">
      <c r="A339" s="38" t="str">
        <f t="shared" si="10"/>
        <v/>
      </c>
      <c r="B339" s="41"/>
      <c r="C339" s="42"/>
      <c r="D339" s="42"/>
      <c r="E339" s="41"/>
      <c r="F339" s="41"/>
      <c r="G339" s="41"/>
      <c r="H339" s="43"/>
      <c r="I339" s="42"/>
      <c r="J339" s="42"/>
      <c r="K339" s="42"/>
      <c r="L339" s="44"/>
      <c r="M339" s="40" t="str">
        <f t="shared" si="11"/>
        <v/>
      </c>
      <c r="N339" s="38" t="str">
        <f ca="1">IF(M339="","",IF(M339="","",IF(OR(IFERROR(INDEX('Calibration Schedule'!J:J,MATCH(B339,'Calibration Schedule'!C:C,0)),"")="Sent for calibration",IFERROR(INDEX('Calibration Schedule'!J:J,MATCH(B339,'Calibration Schedule'!C:C,0)),"")="Scheduled for calibration"),IFERROR(INDEX('Calibration Schedule'!J:J,MATCH(B339,'Calibration Schedule'!C:C,0)),""),IF(M339&lt;TODAY(),"Expired",IF(M339&lt;=TODAY()+30,"Expiring Soon","Pass")))))</f>
        <v/>
      </c>
      <c r="O339" s="43"/>
      <c r="P339" s="42"/>
      <c r="Q339" s="42"/>
      <c r="R339" s="52"/>
    </row>
    <row r="340" spans="1:18">
      <c r="A340" s="38" t="str">
        <f t="shared" si="10"/>
        <v/>
      </c>
      <c r="B340" s="39"/>
      <c r="C340" s="38"/>
      <c r="D340" s="38"/>
      <c r="E340" s="39"/>
      <c r="F340" s="39"/>
      <c r="G340" s="39"/>
      <c r="H340" s="10"/>
      <c r="I340" s="38"/>
      <c r="J340" s="38"/>
      <c r="K340" s="38"/>
      <c r="L340" s="40"/>
      <c r="M340" s="40" t="str">
        <f t="shared" si="11"/>
        <v/>
      </c>
      <c r="N340" s="38" t="str">
        <f ca="1">IF(M340="","",IF(M340="","",IF(OR(IFERROR(INDEX('Calibration Schedule'!J:J,MATCH(B340,'Calibration Schedule'!C:C,0)),"")="Sent for calibration",IFERROR(INDEX('Calibration Schedule'!J:J,MATCH(B340,'Calibration Schedule'!C:C,0)),"")="Scheduled for calibration"),IFERROR(INDEX('Calibration Schedule'!J:J,MATCH(B340,'Calibration Schedule'!C:C,0)),""),IF(M340&lt;TODAY(),"Expired",IF(M340&lt;=TODAY()+30,"Expiring Soon","Pass")))))</f>
        <v/>
      </c>
      <c r="O340" s="10"/>
      <c r="P340" s="38"/>
      <c r="Q340" s="38"/>
      <c r="R340" s="52"/>
    </row>
    <row r="341" spans="1:18">
      <c r="A341" s="38" t="str">
        <f t="shared" si="10"/>
        <v/>
      </c>
      <c r="B341" s="41"/>
      <c r="C341" s="42"/>
      <c r="D341" s="42"/>
      <c r="E341" s="41"/>
      <c r="F341" s="41"/>
      <c r="G341" s="41"/>
      <c r="H341" s="43"/>
      <c r="I341" s="42"/>
      <c r="J341" s="42"/>
      <c r="K341" s="42"/>
      <c r="L341" s="44"/>
      <c r="M341" s="40" t="str">
        <f t="shared" si="11"/>
        <v/>
      </c>
      <c r="N341" s="38" t="str">
        <f ca="1">IF(M341="","",IF(M341="","",IF(OR(IFERROR(INDEX('Calibration Schedule'!J:J,MATCH(B341,'Calibration Schedule'!C:C,0)),"")="Sent for calibration",IFERROR(INDEX('Calibration Schedule'!J:J,MATCH(B341,'Calibration Schedule'!C:C,0)),"")="Scheduled for calibration"),IFERROR(INDEX('Calibration Schedule'!J:J,MATCH(B341,'Calibration Schedule'!C:C,0)),""),IF(M341&lt;TODAY(),"Expired",IF(M341&lt;=TODAY()+30,"Expiring Soon","Pass")))))</f>
        <v/>
      </c>
      <c r="O341" s="43"/>
      <c r="P341" s="42"/>
      <c r="Q341" s="42"/>
      <c r="R341" s="52"/>
    </row>
    <row r="342" spans="1:18">
      <c r="A342" s="38" t="str">
        <f t="shared" si="10"/>
        <v/>
      </c>
      <c r="B342" s="39"/>
      <c r="C342" s="38"/>
      <c r="D342" s="38"/>
      <c r="E342" s="39"/>
      <c r="F342" s="39"/>
      <c r="G342" s="39"/>
      <c r="H342" s="10"/>
      <c r="I342" s="38"/>
      <c r="J342" s="38"/>
      <c r="K342" s="38"/>
      <c r="L342" s="40"/>
      <c r="M342" s="40" t="str">
        <f t="shared" si="11"/>
        <v/>
      </c>
      <c r="N342" s="38" t="str">
        <f ca="1">IF(M342="","",IF(M342="","",IF(OR(IFERROR(INDEX('Calibration Schedule'!J:J,MATCH(B342,'Calibration Schedule'!C:C,0)),"")="Sent for calibration",IFERROR(INDEX('Calibration Schedule'!J:J,MATCH(B342,'Calibration Schedule'!C:C,0)),"")="Scheduled for calibration"),IFERROR(INDEX('Calibration Schedule'!J:J,MATCH(B342,'Calibration Schedule'!C:C,0)),""),IF(M342&lt;TODAY(),"Expired",IF(M342&lt;=TODAY()+30,"Expiring Soon","Pass")))))</f>
        <v/>
      </c>
      <c r="O342" s="10"/>
      <c r="P342" s="38"/>
      <c r="Q342" s="38"/>
      <c r="R342" s="52"/>
    </row>
    <row r="343" spans="1:18">
      <c r="A343" s="38" t="str">
        <f t="shared" si="10"/>
        <v/>
      </c>
      <c r="B343" s="41"/>
      <c r="C343" s="42"/>
      <c r="D343" s="42"/>
      <c r="E343" s="41"/>
      <c r="F343" s="41"/>
      <c r="G343" s="41"/>
      <c r="H343" s="43"/>
      <c r="I343" s="42"/>
      <c r="J343" s="42"/>
      <c r="K343" s="42"/>
      <c r="L343" s="44"/>
      <c r="M343" s="40" t="str">
        <f t="shared" si="11"/>
        <v/>
      </c>
      <c r="N343" s="38" t="str">
        <f ca="1">IF(M343="","",IF(M343="","",IF(OR(IFERROR(INDEX('Calibration Schedule'!J:J,MATCH(B343,'Calibration Schedule'!C:C,0)),"")="Sent for calibration",IFERROR(INDEX('Calibration Schedule'!J:J,MATCH(B343,'Calibration Schedule'!C:C,0)),"")="Scheduled for calibration"),IFERROR(INDEX('Calibration Schedule'!J:J,MATCH(B343,'Calibration Schedule'!C:C,0)),""),IF(M343&lt;TODAY(),"Expired",IF(M343&lt;=TODAY()+30,"Expiring Soon","Pass")))))</f>
        <v/>
      </c>
      <c r="O343" s="43"/>
      <c r="P343" s="42"/>
      <c r="Q343" s="42"/>
      <c r="R343" s="52"/>
    </row>
    <row r="344" spans="1:18">
      <c r="A344" s="38" t="str">
        <f t="shared" si="10"/>
        <v/>
      </c>
      <c r="B344" s="39"/>
      <c r="C344" s="38"/>
      <c r="D344" s="38"/>
      <c r="E344" s="39"/>
      <c r="F344" s="39"/>
      <c r="G344" s="39"/>
      <c r="H344" s="10"/>
      <c r="I344" s="38"/>
      <c r="J344" s="38"/>
      <c r="K344" s="38"/>
      <c r="L344" s="40"/>
      <c r="M344" s="40" t="str">
        <f t="shared" si="11"/>
        <v/>
      </c>
      <c r="N344" s="38" t="str">
        <f ca="1">IF(M344="","",IF(M344="","",IF(OR(IFERROR(INDEX('Calibration Schedule'!J:J,MATCH(B344,'Calibration Schedule'!C:C,0)),"")="Sent for calibration",IFERROR(INDEX('Calibration Schedule'!J:J,MATCH(B344,'Calibration Schedule'!C:C,0)),"")="Scheduled for calibration"),IFERROR(INDEX('Calibration Schedule'!J:J,MATCH(B344,'Calibration Schedule'!C:C,0)),""),IF(M344&lt;TODAY(),"Expired",IF(M344&lt;=TODAY()+30,"Expiring Soon","Pass")))))</f>
        <v/>
      </c>
      <c r="O344" s="10"/>
      <c r="P344" s="38"/>
      <c r="Q344" s="38"/>
      <c r="R344" s="52"/>
    </row>
    <row r="345" spans="1:18">
      <c r="A345" s="38" t="str">
        <f t="shared" si="10"/>
        <v/>
      </c>
      <c r="B345" s="41"/>
      <c r="C345" s="42"/>
      <c r="D345" s="42"/>
      <c r="E345" s="41"/>
      <c r="F345" s="41"/>
      <c r="G345" s="41"/>
      <c r="H345" s="43"/>
      <c r="I345" s="42"/>
      <c r="J345" s="42"/>
      <c r="K345" s="42"/>
      <c r="L345" s="44"/>
      <c r="M345" s="40" t="str">
        <f t="shared" si="11"/>
        <v/>
      </c>
      <c r="N345" s="38" t="str">
        <f ca="1">IF(M345="","",IF(M345="","",IF(OR(IFERROR(INDEX('Calibration Schedule'!J:J,MATCH(B345,'Calibration Schedule'!C:C,0)),"")="Sent for calibration",IFERROR(INDEX('Calibration Schedule'!J:J,MATCH(B345,'Calibration Schedule'!C:C,0)),"")="Scheduled for calibration"),IFERROR(INDEX('Calibration Schedule'!J:J,MATCH(B345,'Calibration Schedule'!C:C,0)),""),IF(M345&lt;TODAY(),"Expired",IF(M345&lt;=TODAY()+30,"Expiring Soon","Pass")))))</f>
        <v/>
      </c>
      <c r="O345" s="43"/>
      <c r="P345" s="42"/>
      <c r="Q345" s="42"/>
      <c r="R345" s="52"/>
    </row>
    <row r="346" spans="1:18">
      <c r="A346" s="38" t="str">
        <f t="shared" si="10"/>
        <v/>
      </c>
      <c r="B346" s="39"/>
      <c r="C346" s="38"/>
      <c r="D346" s="38"/>
      <c r="E346" s="39"/>
      <c r="F346" s="39"/>
      <c r="G346" s="39"/>
      <c r="H346" s="10"/>
      <c r="I346" s="38"/>
      <c r="J346" s="38"/>
      <c r="K346" s="38"/>
      <c r="L346" s="40"/>
      <c r="M346" s="40" t="str">
        <f t="shared" si="11"/>
        <v/>
      </c>
      <c r="N346" s="38" t="str">
        <f ca="1">IF(M346="","",IF(M346="","",IF(OR(IFERROR(INDEX('Calibration Schedule'!J:J,MATCH(B346,'Calibration Schedule'!C:C,0)),"")="Sent for calibration",IFERROR(INDEX('Calibration Schedule'!J:J,MATCH(B346,'Calibration Schedule'!C:C,0)),"")="Scheduled for calibration"),IFERROR(INDEX('Calibration Schedule'!J:J,MATCH(B346,'Calibration Schedule'!C:C,0)),""),IF(M346&lt;TODAY(),"Expired",IF(M346&lt;=TODAY()+30,"Expiring Soon","Pass")))))</f>
        <v/>
      </c>
      <c r="O346" s="10"/>
      <c r="P346" s="38"/>
      <c r="Q346" s="38"/>
      <c r="R346" s="52"/>
    </row>
    <row r="347" spans="1:18">
      <c r="A347" s="38" t="str">
        <f t="shared" si="10"/>
        <v/>
      </c>
      <c r="B347" s="41"/>
      <c r="C347" s="42"/>
      <c r="D347" s="42"/>
      <c r="E347" s="41"/>
      <c r="F347" s="41"/>
      <c r="G347" s="41"/>
      <c r="H347" s="43"/>
      <c r="I347" s="42"/>
      <c r="J347" s="42"/>
      <c r="K347" s="42"/>
      <c r="L347" s="44"/>
      <c r="M347" s="40" t="str">
        <f t="shared" si="11"/>
        <v/>
      </c>
      <c r="N347" s="38" t="str">
        <f ca="1">IF(M347="","",IF(M347="","",IF(OR(IFERROR(INDEX('Calibration Schedule'!J:J,MATCH(B347,'Calibration Schedule'!C:C,0)),"")="Sent for calibration",IFERROR(INDEX('Calibration Schedule'!J:J,MATCH(B347,'Calibration Schedule'!C:C,0)),"")="Scheduled for calibration"),IFERROR(INDEX('Calibration Schedule'!J:J,MATCH(B347,'Calibration Schedule'!C:C,0)),""),IF(M347&lt;TODAY(),"Expired",IF(M347&lt;=TODAY()+30,"Expiring Soon","Pass")))))</f>
        <v/>
      </c>
      <c r="O347" s="43"/>
      <c r="P347" s="42"/>
      <c r="Q347" s="42"/>
      <c r="R347" s="52"/>
    </row>
    <row r="348" spans="1:18">
      <c r="A348" s="38" t="str">
        <f t="shared" si="10"/>
        <v/>
      </c>
      <c r="B348" s="39"/>
      <c r="C348" s="38"/>
      <c r="D348" s="38"/>
      <c r="E348" s="39"/>
      <c r="F348" s="39"/>
      <c r="G348" s="39"/>
      <c r="H348" s="10"/>
      <c r="I348" s="38"/>
      <c r="J348" s="38"/>
      <c r="K348" s="38"/>
      <c r="L348" s="40"/>
      <c r="M348" s="40" t="str">
        <f t="shared" si="11"/>
        <v/>
      </c>
      <c r="N348" s="38" t="str">
        <f ca="1">IF(M348="","",IF(M348="","",IF(OR(IFERROR(INDEX('Calibration Schedule'!J:J,MATCH(B348,'Calibration Schedule'!C:C,0)),"")="Sent for calibration",IFERROR(INDEX('Calibration Schedule'!J:J,MATCH(B348,'Calibration Schedule'!C:C,0)),"")="Scheduled for calibration"),IFERROR(INDEX('Calibration Schedule'!J:J,MATCH(B348,'Calibration Schedule'!C:C,0)),""),IF(M348&lt;TODAY(),"Expired",IF(M348&lt;=TODAY()+30,"Expiring Soon","Pass")))))</f>
        <v/>
      </c>
      <c r="O348" s="10"/>
      <c r="P348" s="38"/>
      <c r="Q348" s="38"/>
      <c r="R348" s="52"/>
    </row>
    <row r="349" spans="1:18">
      <c r="A349" s="38" t="str">
        <f t="shared" si="10"/>
        <v/>
      </c>
      <c r="B349" s="41"/>
      <c r="C349" s="42"/>
      <c r="D349" s="42"/>
      <c r="E349" s="41"/>
      <c r="F349" s="41"/>
      <c r="G349" s="41"/>
      <c r="H349" s="43"/>
      <c r="I349" s="42"/>
      <c r="J349" s="42"/>
      <c r="K349" s="42"/>
      <c r="L349" s="44"/>
      <c r="M349" s="40" t="str">
        <f t="shared" si="11"/>
        <v/>
      </c>
      <c r="N349" s="38" t="str">
        <f ca="1">IF(M349="","",IF(M349="","",IF(OR(IFERROR(INDEX('Calibration Schedule'!J:J,MATCH(B349,'Calibration Schedule'!C:C,0)),"")="Sent for calibration",IFERROR(INDEX('Calibration Schedule'!J:J,MATCH(B349,'Calibration Schedule'!C:C,0)),"")="Scheduled for calibration"),IFERROR(INDEX('Calibration Schedule'!J:J,MATCH(B349,'Calibration Schedule'!C:C,0)),""),IF(M349&lt;TODAY(),"Expired",IF(M349&lt;=TODAY()+30,"Expiring Soon","Pass")))))</f>
        <v/>
      </c>
      <c r="O349" s="43"/>
      <c r="P349" s="42"/>
      <c r="Q349" s="42"/>
      <c r="R349" s="52"/>
    </row>
    <row r="350" spans="1:18">
      <c r="A350" s="38" t="str">
        <f t="shared" si="10"/>
        <v/>
      </c>
      <c r="B350" s="39"/>
      <c r="C350" s="38"/>
      <c r="D350" s="38"/>
      <c r="E350" s="39"/>
      <c r="F350" s="39"/>
      <c r="G350" s="39"/>
      <c r="H350" s="10"/>
      <c r="I350" s="38"/>
      <c r="J350" s="38"/>
      <c r="K350" s="38"/>
      <c r="L350" s="40"/>
      <c r="M350" s="40" t="str">
        <f t="shared" si="11"/>
        <v/>
      </c>
      <c r="N350" s="38" t="str">
        <f ca="1">IF(M350="","",IF(M350="","",IF(OR(IFERROR(INDEX('Calibration Schedule'!J:J,MATCH(B350,'Calibration Schedule'!C:C,0)),"")="Sent for calibration",IFERROR(INDEX('Calibration Schedule'!J:J,MATCH(B350,'Calibration Schedule'!C:C,0)),"")="Scheduled for calibration"),IFERROR(INDEX('Calibration Schedule'!J:J,MATCH(B350,'Calibration Schedule'!C:C,0)),""),IF(M350&lt;TODAY(),"Expired",IF(M350&lt;=TODAY()+30,"Expiring Soon","Pass")))))</f>
        <v/>
      </c>
      <c r="O350" s="10"/>
      <c r="P350" s="38"/>
      <c r="Q350" s="38"/>
      <c r="R350" s="52"/>
    </row>
    <row r="351" spans="1:18">
      <c r="A351" s="38" t="str">
        <f t="shared" si="10"/>
        <v/>
      </c>
      <c r="B351" s="41"/>
      <c r="C351" s="42"/>
      <c r="D351" s="42"/>
      <c r="E351" s="41"/>
      <c r="F351" s="41"/>
      <c r="G351" s="41"/>
      <c r="H351" s="43"/>
      <c r="I351" s="42"/>
      <c r="J351" s="42"/>
      <c r="K351" s="42"/>
      <c r="L351" s="44"/>
      <c r="M351" s="40" t="str">
        <f t="shared" si="11"/>
        <v/>
      </c>
      <c r="N351" s="38" t="str">
        <f ca="1">IF(M351="","",IF(M351="","",IF(OR(IFERROR(INDEX('Calibration Schedule'!J:J,MATCH(B351,'Calibration Schedule'!C:C,0)),"")="Sent for calibration",IFERROR(INDEX('Calibration Schedule'!J:J,MATCH(B351,'Calibration Schedule'!C:C,0)),"")="Scheduled for calibration"),IFERROR(INDEX('Calibration Schedule'!J:J,MATCH(B351,'Calibration Schedule'!C:C,0)),""),IF(M351&lt;TODAY(),"Expired",IF(M351&lt;=TODAY()+30,"Expiring Soon","Pass")))))</f>
        <v/>
      </c>
      <c r="O351" s="43"/>
      <c r="P351" s="42"/>
      <c r="Q351" s="42"/>
      <c r="R351" s="52"/>
    </row>
    <row r="352" spans="1:18">
      <c r="A352" s="38" t="str">
        <f t="shared" si="10"/>
        <v/>
      </c>
      <c r="B352" s="39"/>
      <c r="C352" s="38"/>
      <c r="D352" s="38"/>
      <c r="E352" s="39"/>
      <c r="F352" s="39"/>
      <c r="G352" s="39"/>
      <c r="H352" s="10"/>
      <c r="I352" s="38"/>
      <c r="J352" s="38"/>
      <c r="K352" s="38"/>
      <c r="L352" s="40"/>
      <c r="M352" s="40" t="str">
        <f t="shared" si="11"/>
        <v/>
      </c>
      <c r="N352" s="38" t="str">
        <f ca="1">IF(M352="","",IF(M352="","",IF(OR(IFERROR(INDEX('Calibration Schedule'!J:J,MATCH(B352,'Calibration Schedule'!C:C,0)),"")="Sent for calibration",IFERROR(INDEX('Calibration Schedule'!J:J,MATCH(B352,'Calibration Schedule'!C:C,0)),"")="Scheduled for calibration"),IFERROR(INDEX('Calibration Schedule'!J:J,MATCH(B352,'Calibration Schedule'!C:C,0)),""),IF(M352&lt;TODAY(),"Expired",IF(M352&lt;=TODAY()+30,"Expiring Soon","Pass")))))</f>
        <v/>
      </c>
      <c r="O352" s="10"/>
      <c r="P352" s="38"/>
      <c r="Q352" s="38"/>
      <c r="R352" s="52"/>
    </row>
    <row r="353" spans="1:18">
      <c r="A353" s="38" t="str">
        <f t="shared" si="10"/>
        <v/>
      </c>
      <c r="B353" s="41"/>
      <c r="C353" s="42"/>
      <c r="D353" s="42"/>
      <c r="E353" s="41"/>
      <c r="F353" s="41"/>
      <c r="G353" s="41"/>
      <c r="H353" s="43"/>
      <c r="I353" s="42"/>
      <c r="J353" s="42"/>
      <c r="K353" s="42"/>
      <c r="L353" s="44"/>
      <c r="M353" s="40" t="str">
        <f t="shared" si="11"/>
        <v/>
      </c>
      <c r="N353" s="38" t="str">
        <f ca="1">IF(M353="","",IF(M353="","",IF(OR(IFERROR(INDEX('Calibration Schedule'!J:J,MATCH(B353,'Calibration Schedule'!C:C,0)),"")="Sent for calibration",IFERROR(INDEX('Calibration Schedule'!J:J,MATCH(B353,'Calibration Schedule'!C:C,0)),"")="Scheduled for calibration"),IFERROR(INDEX('Calibration Schedule'!J:J,MATCH(B353,'Calibration Schedule'!C:C,0)),""),IF(M353&lt;TODAY(),"Expired",IF(M353&lt;=TODAY()+30,"Expiring Soon","Pass")))))</f>
        <v/>
      </c>
      <c r="O353" s="43"/>
      <c r="P353" s="42"/>
      <c r="Q353" s="42"/>
      <c r="R353" s="52"/>
    </row>
    <row r="354" spans="1:18">
      <c r="A354" s="38" t="str">
        <f t="shared" si="10"/>
        <v/>
      </c>
      <c r="B354" s="39"/>
      <c r="C354" s="38"/>
      <c r="D354" s="38"/>
      <c r="E354" s="39"/>
      <c r="F354" s="39"/>
      <c r="G354" s="39"/>
      <c r="H354" s="10"/>
      <c r="I354" s="38"/>
      <c r="J354" s="38"/>
      <c r="K354" s="38"/>
      <c r="L354" s="40"/>
      <c r="M354" s="40" t="str">
        <f t="shared" si="11"/>
        <v/>
      </c>
      <c r="N354" s="38" t="str">
        <f ca="1">IF(M354="","",IF(M354="","",IF(OR(IFERROR(INDEX('Calibration Schedule'!J:J,MATCH(B354,'Calibration Schedule'!C:C,0)),"")="Sent for calibration",IFERROR(INDEX('Calibration Schedule'!J:J,MATCH(B354,'Calibration Schedule'!C:C,0)),"")="Scheduled for calibration"),IFERROR(INDEX('Calibration Schedule'!J:J,MATCH(B354,'Calibration Schedule'!C:C,0)),""),IF(M354&lt;TODAY(),"Expired",IF(M354&lt;=TODAY()+30,"Expiring Soon","Pass")))))</f>
        <v/>
      </c>
      <c r="O354" s="10"/>
      <c r="P354" s="38"/>
      <c r="Q354" s="38"/>
      <c r="R354" s="52"/>
    </row>
    <row r="355" spans="1:18">
      <c r="A355" s="38" t="str">
        <f t="shared" si="10"/>
        <v/>
      </c>
      <c r="B355" s="41"/>
      <c r="C355" s="42"/>
      <c r="D355" s="42"/>
      <c r="E355" s="41"/>
      <c r="F355" s="41"/>
      <c r="G355" s="41"/>
      <c r="H355" s="43"/>
      <c r="I355" s="42"/>
      <c r="J355" s="42"/>
      <c r="K355" s="42"/>
      <c r="L355" s="44"/>
      <c r="M355" s="40" t="str">
        <f t="shared" si="11"/>
        <v/>
      </c>
      <c r="N355" s="38" t="str">
        <f ca="1">IF(M355="","",IF(M355="","",IF(OR(IFERROR(INDEX('Calibration Schedule'!J:J,MATCH(B355,'Calibration Schedule'!C:C,0)),"")="Sent for calibration",IFERROR(INDEX('Calibration Schedule'!J:J,MATCH(B355,'Calibration Schedule'!C:C,0)),"")="Scheduled for calibration"),IFERROR(INDEX('Calibration Schedule'!J:J,MATCH(B355,'Calibration Schedule'!C:C,0)),""),IF(M355&lt;TODAY(),"Expired",IF(M355&lt;=TODAY()+30,"Expiring Soon","Pass")))))</f>
        <v/>
      </c>
      <c r="O355" s="43"/>
      <c r="P355" s="42"/>
      <c r="Q355" s="42"/>
      <c r="R355" s="52"/>
    </row>
    <row r="356" spans="1:18">
      <c r="A356" s="38" t="str">
        <f t="shared" si="10"/>
        <v/>
      </c>
      <c r="B356" s="39"/>
      <c r="C356" s="38"/>
      <c r="D356" s="38"/>
      <c r="E356" s="39"/>
      <c r="F356" s="39"/>
      <c r="G356" s="39"/>
      <c r="H356" s="10"/>
      <c r="I356" s="38"/>
      <c r="J356" s="38"/>
      <c r="K356" s="38"/>
      <c r="L356" s="40"/>
      <c r="M356" s="40" t="str">
        <f t="shared" si="11"/>
        <v/>
      </c>
      <c r="N356" s="38" t="str">
        <f ca="1">IF(M356="","",IF(M356="","",IF(OR(IFERROR(INDEX('Calibration Schedule'!J:J,MATCH(B356,'Calibration Schedule'!C:C,0)),"")="Sent for calibration",IFERROR(INDEX('Calibration Schedule'!J:J,MATCH(B356,'Calibration Schedule'!C:C,0)),"")="Scheduled for calibration"),IFERROR(INDEX('Calibration Schedule'!J:J,MATCH(B356,'Calibration Schedule'!C:C,0)),""),IF(M356&lt;TODAY(),"Expired",IF(M356&lt;=TODAY()+30,"Expiring Soon","Pass")))))</f>
        <v/>
      </c>
      <c r="O356" s="10"/>
      <c r="P356" s="38"/>
      <c r="Q356" s="38"/>
      <c r="R356" s="52"/>
    </row>
    <row r="357" spans="1:18">
      <c r="A357" s="38" t="str">
        <f t="shared" si="10"/>
        <v/>
      </c>
      <c r="B357" s="41"/>
      <c r="C357" s="42"/>
      <c r="D357" s="42"/>
      <c r="E357" s="41"/>
      <c r="F357" s="41"/>
      <c r="G357" s="41"/>
      <c r="H357" s="43"/>
      <c r="I357" s="42"/>
      <c r="J357" s="42"/>
      <c r="K357" s="42"/>
      <c r="L357" s="44"/>
      <c r="M357" s="40" t="str">
        <f t="shared" si="11"/>
        <v/>
      </c>
      <c r="N357" s="38" t="str">
        <f ca="1">IF(M357="","",IF(M357="","",IF(OR(IFERROR(INDEX('Calibration Schedule'!J:J,MATCH(B357,'Calibration Schedule'!C:C,0)),"")="Sent for calibration",IFERROR(INDEX('Calibration Schedule'!J:J,MATCH(B357,'Calibration Schedule'!C:C,0)),"")="Scheduled for calibration"),IFERROR(INDEX('Calibration Schedule'!J:J,MATCH(B357,'Calibration Schedule'!C:C,0)),""),IF(M357&lt;TODAY(),"Expired",IF(M357&lt;=TODAY()+30,"Expiring Soon","Pass")))))</f>
        <v/>
      </c>
      <c r="O357" s="43"/>
      <c r="P357" s="42"/>
      <c r="Q357" s="42"/>
      <c r="R357" s="52"/>
    </row>
    <row r="358" spans="1:18">
      <c r="A358" s="38" t="str">
        <f t="shared" si="10"/>
        <v/>
      </c>
      <c r="B358" s="39"/>
      <c r="C358" s="38"/>
      <c r="D358" s="38"/>
      <c r="E358" s="39"/>
      <c r="F358" s="39"/>
      <c r="G358" s="39"/>
      <c r="H358" s="10"/>
      <c r="I358" s="38"/>
      <c r="J358" s="38"/>
      <c r="K358" s="38"/>
      <c r="L358" s="40"/>
      <c r="M358" s="40" t="str">
        <f t="shared" si="11"/>
        <v/>
      </c>
      <c r="N358" s="38" t="str">
        <f ca="1">IF(M358="","",IF(M358="","",IF(OR(IFERROR(INDEX('Calibration Schedule'!J:J,MATCH(B358,'Calibration Schedule'!C:C,0)),"")="Sent for calibration",IFERROR(INDEX('Calibration Schedule'!J:J,MATCH(B358,'Calibration Schedule'!C:C,0)),"")="Scheduled for calibration"),IFERROR(INDEX('Calibration Schedule'!J:J,MATCH(B358,'Calibration Schedule'!C:C,0)),""),IF(M358&lt;TODAY(),"Expired",IF(M358&lt;=TODAY()+30,"Expiring Soon","Pass")))))</f>
        <v/>
      </c>
      <c r="O358" s="10"/>
      <c r="P358" s="38"/>
      <c r="Q358" s="38"/>
      <c r="R358" s="52"/>
    </row>
    <row r="359" spans="1:18">
      <c r="A359" s="38" t="str">
        <f t="shared" si="10"/>
        <v/>
      </c>
      <c r="B359" s="41"/>
      <c r="C359" s="42"/>
      <c r="D359" s="42"/>
      <c r="E359" s="41"/>
      <c r="F359" s="41"/>
      <c r="G359" s="41"/>
      <c r="H359" s="43"/>
      <c r="I359" s="42"/>
      <c r="J359" s="42"/>
      <c r="K359" s="42"/>
      <c r="L359" s="44"/>
      <c r="M359" s="40" t="str">
        <f t="shared" si="11"/>
        <v/>
      </c>
      <c r="N359" s="38" t="str">
        <f ca="1">IF(M359="","",IF(M359="","",IF(OR(IFERROR(INDEX('Calibration Schedule'!J:J,MATCH(B359,'Calibration Schedule'!C:C,0)),"")="Sent for calibration",IFERROR(INDEX('Calibration Schedule'!J:J,MATCH(B359,'Calibration Schedule'!C:C,0)),"")="Scheduled for calibration"),IFERROR(INDEX('Calibration Schedule'!J:J,MATCH(B359,'Calibration Schedule'!C:C,0)),""),IF(M359&lt;TODAY(),"Expired",IF(M359&lt;=TODAY()+30,"Expiring Soon","Pass")))))</f>
        <v/>
      </c>
      <c r="O359" s="43"/>
      <c r="P359" s="42"/>
      <c r="Q359" s="42"/>
      <c r="R359" s="52"/>
    </row>
    <row r="360" spans="1:18">
      <c r="A360" s="38" t="str">
        <f t="shared" si="10"/>
        <v/>
      </c>
      <c r="B360" s="39"/>
      <c r="C360" s="38"/>
      <c r="D360" s="38"/>
      <c r="E360" s="39"/>
      <c r="F360" s="39"/>
      <c r="G360" s="39"/>
      <c r="H360" s="10"/>
      <c r="I360" s="38"/>
      <c r="J360" s="38"/>
      <c r="K360" s="38"/>
      <c r="L360" s="40"/>
      <c r="M360" s="40" t="str">
        <f t="shared" si="11"/>
        <v/>
      </c>
      <c r="N360" s="38" t="str">
        <f ca="1">IF(M360="","",IF(M360="","",IF(OR(IFERROR(INDEX('Calibration Schedule'!J:J,MATCH(B360,'Calibration Schedule'!C:C,0)),"")="Sent for calibration",IFERROR(INDEX('Calibration Schedule'!J:J,MATCH(B360,'Calibration Schedule'!C:C,0)),"")="Scheduled for calibration"),IFERROR(INDEX('Calibration Schedule'!J:J,MATCH(B360,'Calibration Schedule'!C:C,0)),""),IF(M360&lt;TODAY(),"Expired",IF(M360&lt;=TODAY()+30,"Expiring Soon","Pass")))))</f>
        <v/>
      </c>
      <c r="O360" s="10"/>
      <c r="P360" s="38"/>
      <c r="Q360" s="38"/>
      <c r="R360" s="52"/>
    </row>
    <row r="361" spans="1:18">
      <c r="A361" s="38" t="str">
        <f t="shared" si="10"/>
        <v/>
      </c>
      <c r="B361" s="41"/>
      <c r="C361" s="42"/>
      <c r="D361" s="42"/>
      <c r="E361" s="41"/>
      <c r="F361" s="41"/>
      <c r="G361" s="41"/>
      <c r="H361" s="43"/>
      <c r="I361" s="42"/>
      <c r="J361" s="42"/>
      <c r="K361" s="42"/>
      <c r="L361" s="44"/>
      <c r="M361" s="40" t="str">
        <f t="shared" si="11"/>
        <v/>
      </c>
      <c r="N361" s="38" t="str">
        <f ca="1">IF(M361="","",IF(M361="","",IF(OR(IFERROR(INDEX('Calibration Schedule'!J:J,MATCH(B361,'Calibration Schedule'!C:C,0)),"")="Sent for calibration",IFERROR(INDEX('Calibration Schedule'!J:J,MATCH(B361,'Calibration Schedule'!C:C,0)),"")="Scheduled for calibration"),IFERROR(INDEX('Calibration Schedule'!J:J,MATCH(B361,'Calibration Schedule'!C:C,0)),""),IF(M361&lt;TODAY(),"Expired",IF(M361&lt;=TODAY()+30,"Expiring Soon","Pass")))))</f>
        <v/>
      </c>
      <c r="O361" s="43"/>
      <c r="P361" s="42"/>
      <c r="Q361" s="42"/>
      <c r="R361" s="52"/>
    </row>
    <row r="362" spans="1:18">
      <c r="A362" s="38" t="str">
        <f t="shared" si="10"/>
        <v/>
      </c>
      <c r="B362" s="39"/>
      <c r="C362" s="38"/>
      <c r="D362" s="38"/>
      <c r="E362" s="39"/>
      <c r="F362" s="39"/>
      <c r="G362" s="39"/>
      <c r="H362" s="10"/>
      <c r="I362" s="38"/>
      <c r="J362" s="38"/>
      <c r="K362" s="38"/>
      <c r="L362" s="40"/>
      <c r="M362" s="40" t="str">
        <f t="shared" si="11"/>
        <v/>
      </c>
      <c r="N362" s="38" t="str">
        <f ca="1">IF(M362="","",IF(M362="","",IF(OR(IFERROR(INDEX('Calibration Schedule'!J:J,MATCH(B362,'Calibration Schedule'!C:C,0)),"")="Sent for calibration",IFERROR(INDEX('Calibration Schedule'!J:J,MATCH(B362,'Calibration Schedule'!C:C,0)),"")="Scheduled for calibration"),IFERROR(INDEX('Calibration Schedule'!J:J,MATCH(B362,'Calibration Schedule'!C:C,0)),""),IF(M362&lt;TODAY(),"Expired",IF(M362&lt;=TODAY()+30,"Expiring Soon","Pass")))))</f>
        <v/>
      </c>
      <c r="O362" s="10"/>
      <c r="P362" s="38"/>
      <c r="Q362" s="38"/>
      <c r="R362" s="52"/>
    </row>
    <row r="363" spans="1:18">
      <c r="A363" s="38" t="str">
        <f t="shared" si="10"/>
        <v/>
      </c>
      <c r="B363" s="41"/>
      <c r="C363" s="42"/>
      <c r="D363" s="42"/>
      <c r="E363" s="41"/>
      <c r="F363" s="41"/>
      <c r="G363" s="41"/>
      <c r="H363" s="43"/>
      <c r="I363" s="42"/>
      <c r="J363" s="42"/>
      <c r="K363" s="42"/>
      <c r="L363" s="44"/>
      <c r="M363" s="40" t="str">
        <f t="shared" si="11"/>
        <v/>
      </c>
      <c r="N363" s="38" t="str">
        <f ca="1">IF(M363="","",IF(M363="","",IF(OR(IFERROR(INDEX('Calibration Schedule'!J:J,MATCH(B363,'Calibration Schedule'!C:C,0)),"")="Sent for calibration",IFERROR(INDEX('Calibration Schedule'!J:J,MATCH(B363,'Calibration Schedule'!C:C,0)),"")="Scheduled for calibration"),IFERROR(INDEX('Calibration Schedule'!J:J,MATCH(B363,'Calibration Schedule'!C:C,0)),""),IF(M363&lt;TODAY(),"Expired",IF(M363&lt;=TODAY()+30,"Expiring Soon","Pass")))))</f>
        <v/>
      </c>
      <c r="O363" s="43"/>
      <c r="P363" s="42"/>
      <c r="Q363" s="42"/>
      <c r="R363" s="52"/>
    </row>
    <row r="364" spans="1:18">
      <c r="A364" s="38" t="str">
        <f t="shared" si="10"/>
        <v/>
      </c>
      <c r="B364" s="39"/>
      <c r="C364" s="38"/>
      <c r="D364" s="38"/>
      <c r="E364" s="39"/>
      <c r="F364" s="39"/>
      <c r="G364" s="39"/>
      <c r="H364" s="10"/>
      <c r="I364" s="38"/>
      <c r="J364" s="38"/>
      <c r="K364" s="38"/>
      <c r="L364" s="40"/>
      <c r="M364" s="40" t="str">
        <f t="shared" si="11"/>
        <v/>
      </c>
      <c r="N364" s="38" t="str">
        <f ca="1">IF(M364="","",IF(M364="","",IF(OR(IFERROR(INDEX('Calibration Schedule'!J:J,MATCH(B364,'Calibration Schedule'!C:C,0)),"")="Sent for calibration",IFERROR(INDEX('Calibration Schedule'!J:J,MATCH(B364,'Calibration Schedule'!C:C,0)),"")="Scheduled for calibration"),IFERROR(INDEX('Calibration Schedule'!J:J,MATCH(B364,'Calibration Schedule'!C:C,0)),""),IF(M364&lt;TODAY(),"Expired",IF(M364&lt;=TODAY()+30,"Expiring Soon","Pass")))))</f>
        <v/>
      </c>
      <c r="O364" s="10"/>
      <c r="P364" s="38"/>
      <c r="Q364" s="38"/>
      <c r="R364" s="52"/>
    </row>
    <row r="365" spans="1:18">
      <c r="A365" s="38" t="str">
        <f t="shared" si="10"/>
        <v/>
      </c>
      <c r="B365" s="41"/>
      <c r="C365" s="42"/>
      <c r="D365" s="42"/>
      <c r="E365" s="41"/>
      <c r="F365" s="41"/>
      <c r="G365" s="41"/>
      <c r="H365" s="43"/>
      <c r="I365" s="42"/>
      <c r="J365" s="42"/>
      <c r="K365" s="42"/>
      <c r="L365" s="44"/>
      <c r="M365" s="40" t="str">
        <f t="shared" si="11"/>
        <v/>
      </c>
      <c r="N365" s="38" t="str">
        <f ca="1">IF(M365="","",IF(M365="","",IF(OR(IFERROR(INDEX('Calibration Schedule'!J:J,MATCH(B365,'Calibration Schedule'!C:C,0)),"")="Sent for calibration",IFERROR(INDEX('Calibration Schedule'!J:J,MATCH(B365,'Calibration Schedule'!C:C,0)),"")="Scheduled for calibration"),IFERROR(INDEX('Calibration Schedule'!J:J,MATCH(B365,'Calibration Schedule'!C:C,0)),""),IF(M365&lt;TODAY(),"Expired",IF(M365&lt;=TODAY()+30,"Expiring Soon","Pass")))))</f>
        <v/>
      </c>
      <c r="O365" s="43"/>
      <c r="P365" s="42"/>
      <c r="Q365" s="42"/>
      <c r="R365" s="52"/>
    </row>
    <row r="366" spans="1:18">
      <c r="A366" s="38" t="str">
        <f t="shared" si="10"/>
        <v/>
      </c>
      <c r="B366" s="39"/>
      <c r="C366" s="38"/>
      <c r="D366" s="38"/>
      <c r="E366" s="39"/>
      <c r="F366" s="39"/>
      <c r="G366" s="39"/>
      <c r="H366" s="10"/>
      <c r="I366" s="38"/>
      <c r="J366" s="38"/>
      <c r="K366" s="38"/>
      <c r="L366" s="40"/>
      <c r="M366" s="40" t="str">
        <f t="shared" si="11"/>
        <v/>
      </c>
      <c r="N366" s="38" t="str">
        <f ca="1">IF(M366="","",IF(M366="","",IF(OR(IFERROR(INDEX('Calibration Schedule'!J:J,MATCH(B366,'Calibration Schedule'!C:C,0)),"")="Sent for calibration",IFERROR(INDEX('Calibration Schedule'!J:J,MATCH(B366,'Calibration Schedule'!C:C,0)),"")="Scheduled for calibration"),IFERROR(INDEX('Calibration Schedule'!J:J,MATCH(B366,'Calibration Schedule'!C:C,0)),""),IF(M366&lt;TODAY(),"Expired",IF(M366&lt;=TODAY()+30,"Expiring Soon","Pass")))))</f>
        <v/>
      </c>
      <c r="O366" s="10"/>
      <c r="P366" s="38"/>
      <c r="Q366" s="38"/>
      <c r="R366" s="52"/>
    </row>
    <row r="367" spans="1:18">
      <c r="A367" s="38" t="str">
        <f t="shared" si="10"/>
        <v/>
      </c>
      <c r="B367" s="41"/>
      <c r="C367" s="42"/>
      <c r="D367" s="42"/>
      <c r="E367" s="41"/>
      <c r="F367" s="41"/>
      <c r="G367" s="41"/>
      <c r="H367" s="43"/>
      <c r="I367" s="42"/>
      <c r="J367" s="42"/>
      <c r="K367" s="42"/>
      <c r="L367" s="44"/>
      <c r="M367" s="40" t="str">
        <f t="shared" si="11"/>
        <v/>
      </c>
      <c r="N367" s="38" t="str">
        <f ca="1">IF(M367="","",IF(M367="","",IF(OR(IFERROR(INDEX('Calibration Schedule'!J:J,MATCH(B367,'Calibration Schedule'!C:C,0)),"")="Sent for calibration",IFERROR(INDEX('Calibration Schedule'!J:J,MATCH(B367,'Calibration Schedule'!C:C,0)),"")="Scheduled for calibration"),IFERROR(INDEX('Calibration Schedule'!J:J,MATCH(B367,'Calibration Schedule'!C:C,0)),""),IF(M367&lt;TODAY(),"Expired",IF(M367&lt;=TODAY()+30,"Expiring Soon","Pass")))))</f>
        <v/>
      </c>
      <c r="O367" s="43"/>
      <c r="P367" s="42"/>
      <c r="Q367" s="42"/>
      <c r="R367" s="52"/>
    </row>
    <row r="368" spans="1:18">
      <c r="A368" s="38" t="str">
        <f t="shared" si="10"/>
        <v/>
      </c>
      <c r="B368" s="39"/>
      <c r="C368" s="38"/>
      <c r="D368" s="38"/>
      <c r="E368" s="39"/>
      <c r="F368" s="39"/>
      <c r="G368" s="39"/>
      <c r="H368" s="10"/>
      <c r="I368" s="38"/>
      <c r="J368" s="38"/>
      <c r="K368" s="38"/>
      <c r="L368" s="40"/>
      <c r="M368" s="40" t="str">
        <f t="shared" si="11"/>
        <v/>
      </c>
      <c r="N368" s="38" t="str">
        <f ca="1">IF(M368="","",IF(M368="","",IF(OR(IFERROR(INDEX('Calibration Schedule'!J:J,MATCH(B368,'Calibration Schedule'!C:C,0)),"")="Sent for calibration",IFERROR(INDEX('Calibration Schedule'!J:J,MATCH(B368,'Calibration Schedule'!C:C,0)),"")="Scheduled for calibration"),IFERROR(INDEX('Calibration Schedule'!J:J,MATCH(B368,'Calibration Schedule'!C:C,0)),""),IF(M368&lt;TODAY(),"Expired",IF(M368&lt;=TODAY()+30,"Expiring Soon","Pass")))))</f>
        <v/>
      </c>
      <c r="O368" s="10"/>
      <c r="P368" s="38"/>
      <c r="Q368" s="38"/>
      <c r="R368" s="52"/>
    </row>
    <row r="369" spans="1:18">
      <c r="A369" s="38" t="str">
        <f t="shared" si="10"/>
        <v/>
      </c>
      <c r="B369" s="41"/>
      <c r="C369" s="42"/>
      <c r="D369" s="42"/>
      <c r="E369" s="41"/>
      <c r="F369" s="41"/>
      <c r="G369" s="41"/>
      <c r="H369" s="43"/>
      <c r="I369" s="42"/>
      <c r="J369" s="42"/>
      <c r="K369" s="42"/>
      <c r="L369" s="44"/>
      <c r="M369" s="40" t="str">
        <f t="shared" si="11"/>
        <v/>
      </c>
      <c r="N369" s="38" t="str">
        <f ca="1">IF(M369="","",IF(M369="","",IF(OR(IFERROR(INDEX('Calibration Schedule'!J:J,MATCH(B369,'Calibration Schedule'!C:C,0)),"")="Sent for calibration",IFERROR(INDEX('Calibration Schedule'!J:J,MATCH(B369,'Calibration Schedule'!C:C,0)),"")="Scheduled for calibration"),IFERROR(INDEX('Calibration Schedule'!J:J,MATCH(B369,'Calibration Schedule'!C:C,0)),""),IF(M369&lt;TODAY(),"Expired",IF(M369&lt;=TODAY()+30,"Expiring Soon","Pass")))))</f>
        <v/>
      </c>
      <c r="O369" s="43"/>
      <c r="P369" s="42"/>
      <c r="Q369" s="42"/>
      <c r="R369" s="52"/>
    </row>
    <row r="370" spans="1:18">
      <c r="A370" s="38" t="str">
        <f t="shared" si="10"/>
        <v/>
      </c>
      <c r="B370" s="39"/>
      <c r="C370" s="38"/>
      <c r="D370" s="38"/>
      <c r="E370" s="39"/>
      <c r="F370" s="39"/>
      <c r="G370" s="39"/>
      <c r="H370" s="10"/>
      <c r="I370" s="38"/>
      <c r="J370" s="38"/>
      <c r="K370" s="38"/>
      <c r="L370" s="40"/>
      <c r="M370" s="40" t="str">
        <f t="shared" si="11"/>
        <v/>
      </c>
      <c r="N370" s="38" t="str">
        <f ca="1">IF(M370="","",IF(M370="","",IF(OR(IFERROR(INDEX('Calibration Schedule'!J:J,MATCH(B370,'Calibration Schedule'!C:C,0)),"")="Sent for calibration",IFERROR(INDEX('Calibration Schedule'!J:J,MATCH(B370,'Calibration Schedule'!C:C,0)),"")="Scheduled for calibration"),IFERROR(INDEX('Calibration Schedule'!J:J,MATCH(B370,'Calibration Schedule'!C:C,0)),""),IF(M370&lt;TODAY(),"Expired",IF(M370&lt;=TODAY()+30,"Expiring Soon","Pass")))))</f>
        <v/>
      </c>
      <c r="O370" s="10"/>
      <c r="P370" s="38"/>
      <c r="Q370" s="38"/>
      <c r="R370" s="52"/>
    </row>
    <row r="371" spans="1:18">
      <c r="A371" s="38" t="str">
        <f t="shared" si="10"/>
        <v/>
      </c>
      <c r="B371" s="41"/>
      <c r="C371" s="42"/>
      <c r="D371" s="42"/>
      <c r="E371" s="41"/>
      <c r="F371" s="41"/>
      <c r="G371" s="41"/>
      <c r="H371" s="43"/>
      <c r="I371" s="42"/>
      <c r="J371" s="42"/>
      <c r="K371" s="42"/>
      <c r="L371" s="44"/>
      <c r="M371" s="40" t="str">
        <f t="shared" si="11"/>
        <v/>
      </c>
      <c r="N371" s="38" t="str">
        <f ca="1">IF(M371="","",IF(M371="","",IF(OR(IFERROR(INDEX('Calibration Schedule'!J:J,MATCH(B371,'Calibration Schedule'!C:C,0)),"")="Sent for calibration",IFERROR(INDEX('Calibration Schedule'!J:J,MATCH(B371,'Calibration Schedule'!C:C,0)),"")="Scheduled for calibration"),IFERROR(INDEX('Calibration Schedule'!J:J,MATCH(B371,'Calibration Schedule'!C:C,0)),""),IF(M371&lt;TODAY(),"Expired",IF(M371&lt;=TODAY()+30,"Expiring Soon","Pass")))))</f>
        <v/>
      </c>
      <c r="O371" s="43"/>
      <c r="P371" s="42"/>
      <c r="Q371" s="42"/>
      <c r="R371" s="52"/>
    </row>
    <row r="372" spans="1:18">
      <c r="A372" s="38" t="str">
        <f t="shared" si="10"/>
        <v/>
      </c>
      <c r="B372" s="39"/>
      <c r="C372" s="38"/>
      <c r="D372" s="38"/>
      <c r="E372" s="39"/>
      <c r="F372" s="39"/>
      <c r="G372" s="39"/>
      <c r="H372" s="10"/>
      <c r="I372" s="38"/>
      <c r="J372" s="38"/>
      <c r="K372" s="38"/>
      <c r="L372" s="40"/>
      <c r="M372" s="40" t="str">
        <f t="shared" si="11"/>
        <v/>
      </c>
      <c r="N372" s="38" t="str">
        <f ca="1">IF(M372="","",IF(M372="","",IF(OR(IFERROR(INDEX('Calibration Schedule'!J:J,MATCH(B372,'Calibration Schedule'!C:C,0)),"")="Sent for calibration",IFERROR(INDEX('Calibration Schedule'!J:J,MATCH(B372,'Calibration Schedule'!C:C,0)),"")="Scheduled for calibration"),IFERROR(INDEX('Calibration Schedule'!J:J,MATCH(B372,'Calibration Schedule'!C:C,0)),""),IF(M372&lt;TODAY(),"Expired",IF(M372&lt;=TODAY()+30,"Expiring Soon","Pass")))))</f>
        <v/>
      </c>
      <c r="O372" s="10"/>
      <c r="P372" s="38"/>
      <c r="Q372" s="38"/>
      <c r="R372" s="52"/>
    </row>
    <row r="373" spans="1:18">
      <c r="A373" s="38" t="str">
        <f t="shared" si="10"/>
        <v/>
      </c>
      <c r="B373" s="41"/>
      <c r="C373" s="42"/>
      <c r="D373" s="42"/>
      <c r="E373" s="41"/>
      <c r="F373" s="41"/>
      <c r="G373" s="41"/>
      <c r="H373" s="43"/>
      <c r="I373" s="42"/>
      <c r="J373" s="42"/>
      <c r="K373" s="42"/>
      <c r="L373" s="44"/>
      <c r="M373" s="40" t="str">
        <f t="shared" si="11"/>
        <v/>
      </c>
      <c r="N373" s="38" t="str">
        <f ca="1">IF(M373="","",IF(M373="","",IF(OR(IFERROR(INDEX('Calibration Schedule'!J:J,MATCH(B373,'Calibration Schedule'!C:C,0)),"")="Sent for calibration",IFERROR(INDEX('Calibration Schedule'!J:J,MATCH(B373,'Calibration Schedule'!C:C,0)),"")="Scheduled for calibration"),IFERROR(INDEX('Calibration Schedule'!J:J,MATCH(B373,'Calibration Schedule'!C:C,0)),""),IF(M373&lt;TODAY(),"Expired",IF(M373&lt;=TODAY()+30,"Expiring Soon","Pass")))))</f>
        <v/>
      </c>
      <c r="O373" s="43"/>
      <c r="P373" s="42"/>
      <c r="Q373" s="42"/>
      <c r="R373" s="52"/>
    </row>
    <row r="374" spans="1:18">
      <c r="A374" s="38" t="str">
        <f t="shared" si="10"/>
        <v/>
      </c>
      <c r="B374" s="39"/>
      <c r="C374" s="38"/>
      <c r="D374" s="38"/>
      <c r="E374" s="39"/>
      <c r="F374" s="39"/>
      <c r="G374" s="39"/>
      <c r="H374" s="10"/>
      <c r="I374" s="38"/>
      <c r="J374" s="38"/>
      <c r="K374" s="38"/>
      <c r="L374" s="40"/>
      <c r="M374" s="40" t="str">
        <f t="shared" si="11"/>
        <v/>
      </c>
      <c r="N374" s="38" t="str">
        <f ca="1">IF(M374="","",IF(M374="","",IF(OR(IFERROR(INDEX('Calibration Schedule'!J:J,MATCH(B374,'Calibration Schedule'!C:C,0)),"")="Sent for calibration",IFERROR(INDEX('Calibration Schedule'!J:J,MATCH(B374,'Calibration Schedule'!C:C,0)),"")="Scheduled for calibration"),IFERROR(INDEX('Calibration Schedule'!J:J,MATCH(B374,'Calibration Schedule'!C:C,0)),""),IF(M374&lt;TODAY(),"Expired",IF(M374&lt;=TODAY()+30,"Expiring Soon","Pass")))))</f>
        <v/>
      </c>
      <c r="O374" s="10"/>
      <c r="P374" s="38"/>
      <c r="Q374" s="38"/>
      <c r="R374" s="52"/>
    </row>
    <row r="375" spans="1:18">
      <c r="A375" s="38" t="str">
        <f t="shared" si="10"/>
        <v/>
      </c>
      <c r="B375" s="41"/>
      <c r="C375" s="42"/>
      <c r="D375" s="42"/>
      <c r="E375" s="41"/>
      <c r="F375" s="41"/>
      <c r="G375" s="41"/>
      <c r="H375" s="43"/>
      <c r="I375" s="42"/>
      <c r="J375" s="42"/>
      <c r="K375" s="42"/>
      <c r="L375" s="44"/>
      <c r="M375" s="40" t="str">
        <f t="shared" si="11"/>
        <v/>
      </c>
      <c r="N375" s="38" t="str">
        <f ca="1">IF(M375="","",IF(M375="","",IF(OR(IFERROR(INDEX('Calibration Schedule'!J:J,MATCH(B375,'Calibration Schedule'!C:C,0)),"")="Sent for calibration",IFERROR(INDEX('Calibration Schedule'!J:J,MATCH(B375,'Calibration Schedule'!C:C,0)),"")="Scheduled for calibration"),IFERROR(INDEX('Calibration Schedule'!J:J,MATCH(B375,'Calibration Schedule'!C:C,0)),""),IF(M375&lt;TODAY(),"Expired",IF(M375&lt;=TODAY()+30,"Expiring Soon","Pass")))))</f>
        <v/>
      </c>
      <c r="O375" s="43"/>
      <c r="P375" s="42"/>
      <c r="Q375" s="42"/>
      <c r="R375" s="52"/>
    </row>
    <row r="376" spans="1:18">
      <c r="A376" s="38" t="str">
        <f t="shared" si="10"/>
        <v/>
      </c>
      <c r="B376" s="39"/>
      <c r="C376" s="38"/>
      <c r="D376" s="38"/>
      <c r="E376" s="39"/>
      <c r="F376" s="39"/>
      <c r="G376" s="39"/>
      <c r="H376" s="10"/>
      <c r="I376" s="38"/>
      <c r="J376" s="38"/>
      <c r="K376" s="38"/>
      <c r="L376" s="40"/>
      <c r="M376" s="40" t="str">
        <f t="shared" si="11"/>
        <v/>
      </c>
      <c r="N376" s="38" t="str">
        <f ca="1">IF(M376="","",IF(M376="","",IF(OR(IFERROR(INDEX('Calibration Schedule'!J:J,MATCH(B376,'Calibration Schedule'!C:C,0)),"")="Sent for calibration",IFERROR(INDEX('Calibration Schedule'!J:J,MATCH(B376,'Calibration Schedule'!C:C,0)),"")="Scheduled for calibration"),IFERROR(INDEX('Calibration Schedule'!J:J,MATCH(B376,'Calibration Schedule'!C:C,0)),""),IF(M376&lt;TODAY(),"Expired",IF(M376&lt;=TODAY()+30,"Expiring Soon","Pass")))))</f>
        <v/>
      </c>
      <c r="O376" s="10"/>
      <c r="P376" s="38"/>
      <c r="Q376" s="38"/>
      <c r="R376" s="52"/>
    </row>
    <row r="377" spans="1:18">
      <c r="A377" s="38" t="str">
        <f t="shared" si="10"/>
        <v/>
      </c>
      <c r="B377" s="41"/>
      <c r="C377" s="42"/>
      <c r="D377" s="42"/>
      <c r="E377" s="41"/>
      <c r="F377" s="41"/>
      <c r="G377" s="41"/>
      <c r="H377" s="43"/>
      <c r="I377" s="42"/>
      <c r="J377" s="42"/>
      <c r="K377" s="42"/>
      <c r="L377" s="44"/>
      <c r="M377" s="40" t="str">
        <f t="shared" si="11"/>
        <v/>
      </c>
      <c r="N377" s="38" t="str">
        <f ca="1">IF(M377="","",IF(M377="","",IF(OR(IFERROR(INDEX('Calibration Schedule'!J:J,MATCH(B377,'Calibration Schedule'!C:C,0)),"")="Sent for calibration",IFERROR(INDEX('Calibration Schedule'!J:J,MATCH(B377,'Calibration Schedule'!C:C,0)),"")="Scheduled for calibration"),IFERROR(INDEX('Calibration Schedule'!J:J,MATCH(B377,'Calibration Schedule'!C:C,0)),""),IF(M377&lt;TODAY(),"Expired",IF(M377&lt;=TODAY()+30,"Expiring Soon","Pass")))))</f>
        <v/>
      </c>
      <c r="O377" s="43"/>
      <c r="P377" s="42"/>
      <c r="Q377" s="42"/>
      <c r="R377" s="52"/>
    </row>
    <row r="378" spans="1:18">
      <c r="A378" s="38" t="str">
        <f t="shared" si="10"/>
        <v/>
      </c>
      <c r="B378" s="39"/>
      <c r="C378" s="38"/>
      <c r="D378" s="38"/>
      <c r="E378" s="39"/>
      <c r="F378" s="39"/>
      <c r="G378" s="39"/>
      <c r="H378" s="10"/>
      <c r="I378" s="38"/>
      <c r="J378" s="38"/>
      <c r="K378" s="38"/>
      <c r="L378" s="40"/>
      <c r="M378" s="40" t="str">
        <f t="shared" si="11"/>
        <v/>
      </c>
      <c r="N378" s="38" t="str">
        <f ca="1">IF(M378="","",IF(M378="","",IF(OR(IFERROR(INDEX('Calibration Schedule'!J:J,MATCH(B378,'Calibration Schedule'!C:C,0)),"")="Sent for calibration",IFERROR(INDEX('Calibration Schedule'!J:J,MATCH(B378,'Calibration Schedule'!C:C,0)),"")="Scheduled for calibration"),IFERROR(INDEX('Calibration Schedule'!J:J,MATCH(B378,'Calibration Schedule'!C:C,0)),""),IF(M378&lt;TODAY(),"Expired",IF(M378&lt;=TODAY()+30,"Expiring Soon","Pass")))))</f>
        <v/>
      </c>
      <c r="O378" s="10"/>
      <c r="P378" s="38"/>
      <c r="Q378" s="38"/>
      <c r="R378" s="52"/>
    </row>
    <row r="379" spans="1:18">
      <c r="A379" s="38" t="str">
        <f t="shared" si="10"/>
        <v/>
      </c>
      <c r="B379" s="41"/>
      <c r="C379" s="42"/>
      <c r="D379" s="42"/>
      <c r="E379" s="41"/>
      <c r="F379" s="41"/>
      <c r="G379" s="41"/>
      <c r="H379" s="43"/>
      <c r="I379" s="42"/>
      <c r="J379" s="42"/>
      <c r="K379" s="42"/>
      <c r="L379" s="44"/>
      <c r="M379" s="40" t="str">
        <f t="shared" si="11"/>
        <v/>
      </c>
      <c r="N379" s="38" t="str">
        <f ca="1">IF(M379="","",IF(M379="","",IF(OR(IFERROR(INDEX('Calibration Schedule'!J:J,MATCH(B379,'Calibration Schedule'!C:C,0)),"")="Sent for calibration",IFERROR(INDEX('Calibration Schedule'!J:J,MATCH(B379,'Calibration Schedule'!C:C,0)),"")="Scheduled for calibration"),IFERROR(INDEX('Calibration Schedule'!J:J,MATCH(B379,'Calibration Schedule'!C:C,0)),""),IF(M379&lt;TODAY(),"Expired",IF(M379&lt;=TODAY()+30,"Expiring Soon","Pass")))))</f>
        <v/>
      </c>
      <c r="O379" s="43"/>
      <c r="P379" s="42"/>
      <c r="Q379" s="42"/>
      <c r="R379" s="52"/>
    </row>
    <row r="380" spans="1:18">
      <c r="A380" s="38" t="str">
        <f t="shared" si="10"/>
        <v/>
      </c>
      <c r="B380" s="39"/>
      <c r="C380" s="38"/>
      <c r="D380" s="38"/>
      <c r="E380" s="39"/>
      <c r="F380" s="39"/>
      <c r="G380" s="39"/>
      <c r="H380" s="10"/>
      <c r="I380" s="38"/>
      <c r="J380" s="38"/>
      <c r="K380" s="38"/>
      <c r="L380" s="40"/>
      <c r="M380" s="40" t="str">
        <f t="shared" si="11"/>
        <v/>
      </c>
      <c r="N380" s="38" t="str">
        <f ca="1">IF(M380="","",IF(M380="","",IF(OR(IFERROR(INDEX('Calibration Schedule'!J:J,MATCH(B380,'Calibration Schedule'!C:C,0)),"")="Sent for calibration",IFERROR(INDEX('Calibration Schedule'!J:J,MATCH(B380,'Calibration Schedule'!C:C,0)),"")="Scheduled for calibration"),IFERROR(INDEX('Calibration Schedule'!J:J,MATCH(B380,'Calibration Schedule'!C:C,0)),""),IF(M380&lt;TODAY(),"Expired",IF(M380&lt;=TODAY()+30,"Expiring Soon","Pass")))))</f>
        <v/>
      </c>
      <c r="O380" s="10"/>
      <c r="P380" s="38"/>
      <c r="Q380" s="38"/>
      <c r="R380" s="52"/>
    </row>
    <row r="381" spans="1:18">
      <c r="A381" s="38" t="str">
        <f t="shared" si="10"/>
        <v/>
      </c>
      <c r="B381" s="41"/>
      <c r="C381" s="42"/>
      <c r="D381" s="42"/>
      <c r="E381" s="41"/>
      <c r="F381" s="41"/>
      <c r="G381" s="41"/>
      <c r="H381" s="43"/>
      <c r="I381" s="42"/>
      <c r="J381" s="42"/>
      <c r="K381" s="42"/>
      <c r="L381" s="44"/>
      <c r="M381" s="40" t="str">
        <f t="shared" si="11"/>
        <v/>
      </c>
      <c r="N381" s="38" t="str">
        <f ca="1">IF(M381="","",IF(M381="","",IF(OR(IFERROR(INDEX('Calibration Schedule'!J:J,MATCH(B381,'Calibration Schedule'!C:C,0)),"")="Sent for calibration",IFERROR(INDEX('Calibration Schedule'!J:J,MATCH(B381,'Calibration Schedule'!C:C,0)),"")="Scheduled for calibration"),IFERROR(INDEX('Calibration Schedule'!J:J,MATCH(B381,'Calibration Schedule'!C:C,0)),""),IF(M381&lt;TODAY(),"Expired",IF(M381&lt;=TODAY()+30,"Expiring Soon","Pass")))))</f>
        <v/>
      </c>
      <c r="O381" s="43"/>
      <c r="P381" s="42"/>
      <c r="Q381" s="42"/>
      <c r="R381" s="52"/>
    </row>
    <row r="382" spans="1:18">
      <c r="A382" s="38" t="str">
        <f t="shared" si="10"/>
        <v/>
      </c>
      <c r="B382" s="39"/>
      <c r="C382" s="38"/>
      <c r="D382" s="38"/>
      <c r="E382" s="39"/>
      <c r="F382" s="39"/>
      <c r="G382" s="39"/>
      <c r="H382" s="10"/>
      <c r="I382" s="38"/>
      <c r="J382" s="38"/>
      <c r="K382" s="38"/>
      <c r="L382" s="40"/>
      <c r="M382" s="40" t="str">
        <f t="shared" si="11"/>
        <v/>
      </c>
      <c r="N382" s="38" t="str">
        <f ca="1">IF(M382="","",IF(M382="","",IF(OR(IFERROR(INDEX('Calibration Schedule'!J:J,MATCH(B382,'Calibration Schedule'!C:C,0)),"")="Sent for calibration",IFERROR(INDEX('Calibration Schedule'!J:J,MATCH(B382,'Calibration Schedule'!C:C,0)),"")="Scheduled for calibration"),IFERROR(INDEX('Calibration Schedule'!J:J,MATCH(B382,'Calibration Schedule'!C:C,0)),""),IF(M382&lt;TODAY(),"Expired",IF(M382&lt;=TODAY()+30,"Expiring Soon","Pass")))))</f>
        <v/>
      </c>
      <c r="O382" s="10"/>
      <c r="P382" s="38"/>
      <c r="Q382" s="38"/>
      <c r="R382" s="52"/>
    </row>
    <row r="383" spans="1:18">
      <c r="A383" s="38" t="str">
        <f t="shared" si="10"/>
        <v/>
      </c>
      <c r="B383" s="41"/>
      <c r="C383" s="42"/>
      <c r="D383" s="42"/>
      <c r="E383" s="41"/>
      <c r="F383" s="41"/>
      <c r="G383" s="41"/>
      <c r="H383" s="43"/>
      <c r="I383" s="42"/>
      <c r="J383" s="42"/>
      <c r="K383" s="42"/>
      <c r="L383" s="44"/>
      <c r="M383" s="40" t="str">
        <f t="shared" si="11"/>
        <v/>
      </c>
      <c r="N383" s="38" t="str">
        <f ca="1">IF(M383="","",IF(M383="","",IF(OR(IFERROR(INDEX('Calibration Schedule'!J:J,MATCH(B383,'Calibration Schedule'!C:C,0)),"")="Sent for calibration",IFERROR(INDEX('Calibration Schedule'!J:J,MATCH(B383,'Calibration Schedule'!C:C,0)),"")="Scheduled for calibration"),IFERROR(INDEX('Calibration Schedule'!J:J,MATCH(B383,'Calibration Schedule'!C:C,0)),""),IF(M383&lt;TODAY(),"Expired",IF(M383&lt;=TODAY()+30,"Expiring Soon","Pass")))))</f>
        <v/>
      </c>
      <c r="O383" s="43"/>
      <c r="P383" s="42"/>
      <c r="Q383" s="42"/>
      <c r="R383" s="52"/>
    </row>
    <row r="384" spans="1:18">
      <c r="A384" s="38" t="str">
        <f t="shared" si="10"/>
        <v/>
      </c>
      <c r="B384" s="39"/>
      <c r="C384" s="38"/>
      <c r="D384" s="38"/>
      <c r="E384" s="39"/>
      <c r="F384" s="39"/>
      <c r="G384" s="39"/>
      <c r="H384" s="10"/>
      <c r="I384" s="38"/>
      <c r="J384" s="38"/>
      <c r="K384" s="38"/>
      <c r="L384" s="40"/>
      <c r="M384" s="40" t="str">
        <f t="shared" si="11"/>
        <v/>
      </c>
      <c r="N384" s="38" t="str">
        <f ca="1">IF(M384="","",IF(M384="","",IF(OR(IFERROR(INDEX('Calibration Schedule'!J:J,MATCH(B384,'Calibration Schedule'!C:C,0)),"")="Sent for calibration",IFERROR(INDEX('Calibration Schedule'!J:J,MATCH(B384,'Calibration Schedule'!C:C,0)),"")="Scheduled for calibration"),IFERROR(INDEX('Calibration Schedule'!J:J,MATCH(B384,'Calibration Schedule'!C:C,0)),""),IF(M384&lt;TODAY(),"Expired",IF(M384&lt;=TODAY()+30,"Expiring Soon","Pass")))))</f>
        <v/>
      </c>
      <c r="O384" s="10"/>
      <c r="P384" s="38"/>
      <c r="Q384" s="38"/>
      <c r="R384" s="52"/>
    </row>
    <row r="385" spans="1:18">
      <c r="A385" s="38" t="str">
        <f t="shared" si="10"/>
        <v/>
      </c>
      <c r="B385" s="41"/>
      <c r="C385" s="42"/>
      <c r="D385" s="42"/>
      <c r="E385" s="41"/>
      <c r="F385" s="41"/>
      <c r="G385" s="41"/>
      <c r="H385" s="43"/>
      <c r="I385" s="42"/>
      <c r="J385" s="42"/>
      <c r="K385" s="42"/>
      <c r="L385" s="44"/>
      <c r="M385" s="40" t="str">
        <f t="shared" si="11"/>
        <v/>
      </c>
      <c r="N385" s="38" t="str">
        <f ca="1">IF(M385="","",IF(M385="","",IF(OR(IFERROR(INDEX('Calibration Schedule'!J:J,MATCH(B385,'Calibration Schedule'!C:C,0)),"")="Sent for calibration",IFERROR(INDEX('Calibration Schedule'!J:J,MATCH(B385,'Calibration Schedule'!C:C,0)),"")="Scheduled for calibration"),IFERROR(INDEX('Calibration Schedule'!J:J,MATCH(B385,'Calibration Schedule'!C:C,0)),""),IF(M385&lt;TODAY(),"Expired",IF(M385&lt;=TODAY()+30,"Expiring Soon","Pass")))))</f>
        <v/>
      </c>
      <c r="O385" s="43"/>
      <c r="P385" s="42"/>
      <c r="Q385" s="42"/>
      <c r="R385" s="52"/>
    </row>
    <row r="386" spans="1:18">
      <c r="A386" s="38" t="str">
        <f t="shared" si="10"/>
        <v/>
      </c>
      <c r="B386" s="39"/>
      <c r="C386" s="38"/>
      <c r="D386" s="38"/>
      <c r="E386" s="39"/>
      <c r="F386" s="39"/>
      <c r="G386" s="39"/>
      <c r="H386" s="10"/>
      <c r="I386" s="38"/>
      <c r="J386" s="38"/>
      <c r="K386" s="38"/>
      <c r="L386" s="40"/>
      <c r="M386" s="40" t="str">
        <f t="shared" si="11"/>
        <v/>
      </c>
      <c r="N386" s="38" t="str">
        <f ca="1">IF(M386="","",IF(M386="","",IF(OR(IFERROR(INDEX('Calibration Schedule'!J:J,MATCH(B386,'Calibration Schedule'!C:C,0)),"")="Sent for calibration",IFERROR(INDEX('Calibration Schedule'!J:J,MATCH(B386,'Calibration Schedule'!C:C,0)),"")="Scheduled for calibration"),IFERROR(INDEX('Calibration Schedule'!J:J,MATCH(B386,'Calibration Schedule'!C:C,0)),""),IF(M386&lt;TODAY(),"Expired",IF(M386&lt;=TODAY()+30,"Expiring Soon","Pass")))))</f>
        <v/>
      </c>
      <c r="O386" s="10"/>
      <c r="P386" s="38"/>
      <c r="Q386" s="38"/>
      <c r="R386" s="52"/>
    </row>
    <row r="387" spans="1:18">
      <c r="A387" s="38" t="str">
        <f t="shared" si="10"/>
        <v/>
      </c>
      <c r="B387" s="41"/>
      <c r="C387" s="42"/>
      <c r="D387" s="42"/>
      <c r="E387" s="41"/>
      <c r="F387" s="41"/>
      <c r="G387" s="41"/>
      <c r="H387" s="43"/>
      <c r="I387" s="42"/>
      <c r="J387" s="42"/>
      <c r="K387" s="42"/>
      <c r="L387" s="44"/>
      <c r="M387" s="40" t="str">
        <f t="shared" si="11"/>
        <v/>
      </c>
      <c r="N387" s="38" t="str">
        <f ca="1">IF(M387="","",IF(M387="","",IF(OR(IFERROR(INDEX('Calibration Schedule'!J:J,MATCH(B387,'Calibration Schedule'!C:C,0)),"")="Sent for calibration",IFERROR(INDEX('Calibration Schedule'!J:J,MATCH(B387,'Calibration Schedule'!C:C,0)),"")="Scheduled for calibration"),IFERROR(INDEX('Calibration Schedule'!J:J,MATCH(B387,'Calibration Schedule'!C:C,0)),""),IF(M387&lt;TODAY(),"Expired",IF(M387&lt;=TODAY()+30,"Expiring Soon","Pass")))))</f>
        <v/>
      </c>
      <c r="O387" s="43"/>
      <c r="P387" s="42"/>
      <c r="Q387" s="42"/>
      <c r="R387" s="52"/>
    </row>
    <row r="388" spans="1:18">
      <c r="A388" s="38" t="str">
        <f t="shared" ref="A388:A451" si="12">IF(B388="","",ROW(B388)-3)</f>
        <v/>
      </c>
      <c r="B388" s="39"/>
      <c r="C388" s="38"/>
      <c r="D388" s="38"/>
      <c r="E388" s="39"/>
      <c r="F388" s="39"/>
      <c r="G388" s="39"/>
      <c r="H388" s="10"/>
      <c r="I388" s="38"/>
      <c r="J388" s="38"/>
      <c r="K388" s="38"/>
      <c r="L388" s="40"/>
      <c r="M388" s="40" t="str">
        <f t="shared" si="11"/>
        <v/>
      </c>
      <c r="N388" s="38" t="str">
        <f ca="1">IF(M388="","",IF(M388="","",IF(OR(IFERROR(INDEX('Calibration Schedule'!J:J,MATCH(B388,'Calibration Schedule'!C:C,0)),"")="Sent for calibration",IFERROR(INDEX('Calibration Schedule'!J:J,MATCH(B388,'Calibration Schedule'!C:C,0)),"")="Scheduled for calibration"),IFERROR(INDEX('Calibration Schedule'!J:J,MATCH(B388,'Calibration Schedule'!C:C,0)),""),IF(M388&lt;TODAY(),"Expired",IF(M388&lt;=TODAY()+30,"Expiring Soon","Pass")))))</f>
        <v/>
      </c>
      <c r="O388" s="10"/>
      <c r="P388" s="38"/>
      <c r="Q388" s="38"/>
      <c r="R388" s="52"/>
    </row>
    <row r="389" spans="1:18">
      <c r="A389" s="38" t="str">
        <f t="shared" si="12"/>
        <v/>
      </c>
      <c r="B389" s="41"/>
      <c r="C389" s="42"/>
      <c r="D389" s="42"/>
      <c r="E389" s="41"/>
      <c r="F389" s="41"/>
      <c r="G389" s="41"/>
      <c r="H389" s="43"/>
      <c r="I389" s="42"/>
      <c r="J389" s="42"/>
      <c r="K389" s="42"/>
      <c r="L389" s="44"/>
      <c r="M389" s="40" t="str">
        <f t="shared" ref="M389:M452" si="13">IF(B389="","",IF(K389="Not Eligible","",IFERROR(EDATE(L389,K389),"")))</f>
        <v/>
      </c>
      <c r="N389" s="38" t="str">
        <f ca="1">IF(M389="","",IF(M389="","",IF(OR(IFERROR(INDEX('Calibration Schedule'!J:J,MATCH(B389,'Calibration Schedule'!C:C,0)),"")="Sent for calibration",IFERROR(INDEX('Calibration Schedule'!J:J,MATCH(B389,'Calibration Schedule'!C:C,0)),"")="Scheduled for calibration"),IFERROR(INDEX('Calibration Schedule'!J:J,MATCH(B389,'Calibration Schedule'!C:C,0)),""),IF(M389&lt;TODAY(),"Expired",IF(M389&lt;=TODAY()+30,"Expiring Soon","Pass")))))</f>
        <v/>
      </c>
      <c r="O389" s="43"/>
      <c r="P389" s="42"/>
      <c r="Q389" s="42"/>
      <c r="R389" s="52"/>
    </row>
    <row r="390" spans="1:18">
      <c r="A390" s="38" t="str">
        <f t="shared" si="12"/>
        <v/>
      </c>
      <c r="B390" s="39"/>
      <c r="C390" s="38"/>
      <c r="D390" s="38"/>
      <c r="E390" s="39"/>
      <c r="F390" s="39"/>
      <c r="G390" s="39"/>
      <c r="H390" s="10"/>
      <c r="I390" s="38"/>
      <c r="J390" s="38"/>
      <c r="K390" s="38"/>
      <c r="L390" s="40"/>
      <c r="M390" s="40" t="str">
        <f t="shared" si="13"/>
        <v/>
      </c>
      <c r="N390" s="38" t="str">
        <f ca="1">IF(M390="","",IF(M390="","",IF(OR(IFERROR(INDEX('Calibration Schedule'!J:J,MATCH(B390,'Calibration Schedule'!C:C,0)),"")="Sent for calibration",IFERROR(INDEX('Calibration Schedule'!J:J,MATCH(B390,'Calibration Schedule'!C:C,0)),"")="Scheduled for calibration"),IFERROR(INDEX('Calibration Schedule'!J:J,MATCH(B390,'Calibration Schedule'!C:C,0)),""),IF(M390&lt;TODAY(),"Expired",IF(M390&lt;=TODAY()+30,"Expiring Soon","Pass")))))</f>
        <v/>
      </c>
      <c r="O390" s="10"/>
      <c r="P390" s="38"/>
      <c r="Q390" s="38"/>
      <c r="R390" s="52"/>
    </row>
    <row r="391" spans="1:18">
      <c r="A391" s="38" t="str">
        <f t="shared" si="12"/>
        <v/>
      </c>
      <c r="B391" s="41"/>
      <c r="C391" s="42"/>
      <c r="D391" s="42"/>
      <c r="E391" s="41"/>
      <c r="F391" s="41"/>
      <c r="G391" s="41"/>
      <c r="H391" s="43"/>
      <c r="I391" s="42"/>
      <c r="J391" s="42"/>
      <c r="K391" s="42"/>
      <c r="L391" s="44"/>
      <c r="M391" s="40" t="str">
        <f t="shared" si="13"/>
        <v/>
      </c>
      <c r="N391" s="38" t="str">
        <f ca="1">IF(M391="","",IF(M391="","",IF(OR(IFERROR(INDEX('Calibration Schedule'!J:J,MATCH(B391,'Calibration Schedule'!C:C,0)),"")="Sent for calibration",IFERROR(INDEX('Calibration Schedule'!J:J,MATCH(B391,'Calibration Schedule'!C:C,0)),"")="Scheduled for calibration"),IFERROR(INDEX('Calibration Schedule'!J:J,MATCH(B391,'Calibration Schedule'!C:C,0)),""),IF(M391&lt;TODAY(),"Expired",IF(M391&lt;=TODAY()+30,"Expiring Soon","Pass")))))</f>
        <v/>
      </c>
      <c r="O391" s="43"/>
      <c r="P391" s="42"/>
      <c r="Q391" s="42"/>
      <c r="R391" s="52"/>
    </row>
    <row r="392" spans="1:18">
      <c r="A392" s="38" t="str">
        <f t="shared" si="12"/>
        <v/>
      </c>
      <c r="B392" s="39"/>
      <c r="C392" s="38"/>
      <c r="D392" s="38"/>
      <c r="E392" s="39"/>
      <c r="F392" s="39"/>
      <c r="G392" s="39"/>
      <c r="H392" s="10"/>
      <c r="I392" s="38"/>
      <c r="J392" s="38"/>
      <c r="K392" s="38"/>
      <c r="L392" s="40"/>
      <c r="M392" s="40" t="str">
        <f t="shared" si="13"/>
        <v/>
      </c>
      <c r="N392" s="38" t="str">
        <f ca="1">IF(M392="","",IF(M392="","",IF(OR(IFERROR(INDEX('Calibration Schedule'!J:J,MATCH(B392,'Calibration Schedule'!C:C,0)),"")="Sent for calibration",IFERROR(INDEX('Calibration Schedule'!J:J,MATCH(B392,'Calibration Schedule'!C:C,0)),"")="Scheduled for calibration"),IFERROR(INDEX('Calibration Schedule'!J:J,MATCH(B392,'Calibration Schedule'!C:C,0)),""),IF(M392&lt;TODAY(),"Expired",IF(M392&lt;=TODAY()+30,"Expiring Soon","Pass")))))</f>
        <v/>
      </c>
      <c r="O392" s="10"/>
      <c r="P392" s="38"/>
      <c r="Q392" s="38"/>
      <c r="R392" s="52"/>
    </row>
    <row r="393" spans="1:18">
      <c r="A393" s="38" t="str">
        <f t="shared" si="12"/>
        <v/>
      </c>
      <c r="B393" s="41"/>
      <c r="C393" s="42"/>
      <c r="D393" s="42"/>
      <c r="E393" s="41"/>
      <c r="F393" s="41"/>
      <c r="G393" s="41"/>
      <c r="H393" s="43"/>
      <c r="I393" s="42"/>
      <c r="J393" s="42"/>
      <c r="K393" s="42"/>
      <c r="L393" s="44"/>
      <c r="M393" s="40" t="str">
        <f t="shared" si="13"/>
        <v/>
      </c>
      <c r="N393" s="38" t="str">
        <f ca="1">IF(M393="","",IF(M393="","",IF(OR(IFERROR(INDEX('Calibration Schedule'!J:J,MATCH(B393,'Calibration Schedule'!C:C,0)),"")="Sent for calibration",IFERROR(INDEX('Calibration Schedule'!J:J,MATCH(B393,'Calibration Schedule'!C:C,0)),"")="Scheduled for calibration"),IFERROR(INDEX('Calibration Schedule'!J:J,MATCH(B393,'Calibration Schedule'!C:C,0)),""),IF(M393&lt;TODAY(),"Expired",IF(M393&lt;=TODAY()+30,"Expiring Soon","Pass")))))</f>
        <v/>
      </c>
      <c r="O393" s="43"/>
      <c r="P393" s="42"/>
      <c r="Q393" s="42"/>
      <c r="R393" s="52"/>
    </row>
    <row r="394" spans="1:18">
      <c r="A394" s="38" t="str">
        <f t="shared" si="12"/>
        <v/>
      </c>
      <c r="B394" s="39"/>
      <c r="C394" s="38"/>
      <c r="D394" s="38"/>
      <c r="E394" s="39"/>
      <c r="F394" s="39"/>
      <c r="G394" s="39"/>
      <c r="H394" s="10"/>
      <c r="I394" s="38"/>
      <c r="J394" s="38"/>
      <c r="K394" s="38"/>
      <c r="L394" s="40"/>
      <c r="M394" s="40" t="str">
        <f t="shared" si="13"/>
        <v/>
      </c>
      <c r="N394" s="38" t="str">
        <f ca="1">IF(M394="","",IF(M394="","",IF(OR(IFERROR(INDEX('Calibration Schedule'!J:J,MATCH(B394,'Calibration Schedule'!C:C,0)),"")="Sent for calibration",IFERROR(INDEX('Calibration Schedule'!J:J,MATCH(B394,'Calibration Schedule'!C:C,0)),"")="Scheduled for calibration"),IFERROR(INDEX('Calibration Schedule'!J:J,MATCH(B394,'Calibration Schedule'!C:C,0)),""),IF(M394&lt;TODAY(),"Expired",IF(M394&lt;=TODAY()+30,"Expiring Soon","Pass")))))</f>
        <v/>
      </c>
      <c r="O394" s="10"/>
      <c r="P394" s="38"/>
      <c r="Q394" s="38"/>
      <c r="R394" s="52"/>
    </row>
    <row r="395" spans="1:18">
      <c r="A395" s="38" t="str">
        <f t="shared" si="12"/>
        <v/>
      </c>
      <c r="B395" s="41"/>
      <c r="C395" s="42"/>
      <c r="D395" s="42"/>
      <c r="E395" s="41"/>
      <c r="F395" s="41"/>
      <c r="G395" s="41"/>
      <c r="H395" s="43"/>
      <c r="I395" s="42"/>
      <c r="J395" s="42"/>
      <c r="K395" s="42"/>
      <c r="L395" s="44"/>
      <c r="M395" s="40" t="str">
        <f t="shared" si="13"/>
        <v/>
      </c>
      <c r="N395" s="38" t="str">
        <f ca="1">IF(M395="","",IF(M395="","",IF(OR(IFERROR(INDEX('Calibration Schedule'!J:J,MATCH(B395,'Calibration Schedule'!C:C,0)),"")="Sent for calibration",IFERROR(INDEX('Calibration Schedule'!J:J,MATCH(B395,'Calibration Schedule'!C:C,0)),"")="Scheduled for calibration"),IFERROR(INDEX('Calibration Schedule'!J:J,MATCH(B395,'Calibration Schedule'!C:C,0)),""),IF(M395&lt;TODAY(),"Expired",IF(M395&lt;=TODAY()+30,"Expiring Soon","Pass")))))</f>
        <v/>
      </c>
      <c r="O395" s="43"/>
      <c r="P395" s="42"/>
      <c r="Q395" s="42"/>
      <c r="R395" s="52"/>
    </row>
    <row r="396" spans="1:18">
      <c r="A396" s="38" t="str">
        <f t="shared" si="12"/>
        <v/>
      </c>
      <c r="B396" s="39"/>
      <c r="C396" s="38"/>
      <c r="D396" s="38"/>
      <c r="E396" s="39"/>
      <c r="F396" s="39"/>
      <c r="G396" s="39"/>
      <c r="H396" s="10"/>
      <c r="I396" s="38"/>
      <c r="J396" s="38"/>
      <c r="K396" s="38"/>
      <c r="L396" s="40"/>
      <c r="M396" s="40" t="str">
        <f t="shared" si="13"/>
        <v/>
      </c>
      <c r="N396" s="38" t="str">
        <f ca="1">IF(M396="","",IF(M396="","",IF(OR(IFERROR(INDEX('Calibration Schedule'!J:J,MATCH(B396,'Calibration Schedule'!C:C,0)),"")="Sent for calibration",IFERROR(INDEX('Calibration Schedule'!J:J,MATCH(B396,'Calibration Schedule'!C:C,0)),"")="Scheduled for calibration"),IFERROR(INDEX('Calibration Schedule'!J:J,MATCH(B396,'Calibration Schedule'!C:C,0)),""),IF(M396&lt;TODAY(),"Expired",IF(M396&lt;=TODAY()+30,"Expiring Soon","Pass")))))</f>
        <v/>
      </c>
      <c r="O396" s="10"/>
      <c r="P396" s="38"/>
      <c r="Q396" s="38"/>
      <c r="R396" s="52"/>
    </row>
    <row r="397" spans="1:18">
      <c r="A397" s="38" t="str">
        <f t="shared" si="12"/>
        <v/>
      </c>
      <c r="B397" s="41"/>
      <c r="C397" s="42"/>
      <c r="D397" s="42"/>
      <c r="E397" s="41"/>
      <c r="F397" s="41"/>
      <c r="G397" s="41"/>
      <c r="H397" s="43"/>
      <c r="I397" s="42"/>
      <c r="J397" s="42"/>
      <c r="K397" s="42"/>
      <c r="L397" s="44"/>
      <c r="M397" s="40" t="str">
        <f t="shared" si="13"/>
        <v/>
      </c>
      <c r="N397" s="38" t="str">
        <f ca="1">IF(M397="","",IF(M397="","",IF(OR(IFERROR(INDEX('Calibration Schedule'!J:J,MATCH(B397,'Calibration Schedule'!C:C,0)),"")="Sent for calibration",IFERROR(INDEX('Calibration Schedule'!J:J,MATCH(B397,'Calibration Schedule'!C:C,0)),"")="Scheduled for calibration"),IFERROR(INDEX('Calibration Schedule'!J:J,MATCH(B397,'Calibration Schedule'!C:C,0)),""),IF(M397&lt;TODAY(),"Expired",IF(M397&lt;=TODAY()+30,"Expiring Soon","Pass")))))</f>
        <v/>
      </c>
      <c r="O397" s="43"/>
      <c r="P397" s="42"/>
      <c r="Q397" s="42"/>
      <c r="R397" s="52"/>
    </row>
    <row r="398" spans="1:18">
      <c r="A398" s="38" t="str">
        <f t="shared" si="12"/>
        <v/>
      </c>
      <c r="B398" s="39"/>
      <c r="C398" s="38"/>
      <c r="D398" s="38"/>
      <c r="E398" s="39"/>
      <c r="F398" s="39"/>
      <c r="G398" s="39"/>
      <c r="H398" s="10"/>
      <c r="I398" s="38"/>
      <c r="J398" s="38"/>
      <c r="K398" s="38"/>
      <c r="L398" s="40"/>
      <c r="M398" s="40" t="str">
        <f t="shared" si="13"/>
        <v/>
      </c>
      <c r="N398" s="38" t="str">
        <f ca="1">IF(M398="","",IF(M398="","",IF(OR(IFERROR(INDEX('Calibration Schedule'!J:J,MATCH(B398,'Calibration Schedule'!C:C,0)),"")="Sent for calibration",IFERROR(INDEX('Calibration Schedule'!J:J,MATCH(B398,'Calibration Schedule'!C:C,0)),"")="Scheduled for calibration"),IFERROR(INDEX('Calibration Schedule'!J:J,MATCH(B398,'Calibration Schedule'!C:C,0)),""),IF(M398&lt;TODAY(),"Expired",IF(M398&lt;=TODAY()+30,"Expiring Soon","Pass")))))</f>
        <v/>
      </c>
      <c r="O398" s="10"/>
      <c r="P398" s="38"/>
      <c r="Q398" s="38"/>
      <c r="R398" s="52"/>
    </row>
    <row r="399" spans="1:18">
      <c r="A399" s="38" t="str">
        <f t="shared" si="12"/>
        <v/>
      </c>
      <c r="B399" s="41"/>
      <c r="C399" s="42"/>
      <c r="D399" s="42"/>
      <c r="E399" s="41"/>
      <c r="F399" s="41"/>
      <c r="G399" s="41"/>
      <c r="H399" s="43"/>
      <c r="I399" s="42"/>
      <c r="J399" s="42"/>
      <c r="K399" s="42"/>
      <c r="L399" s="44"/>
      <c r="M399" s="40" t="str">
        <f t="shared" si="13"/>
        <v/>
      </c>
      <c r="N399" s="38" t="str">
        <f ca="1">IF(M399="","",IF(M399="","",IF(OR(IFERROR(INDEX('Calibration Schedule'!J:J,MATCH(B399,'Calibration Schedule'!C:C,0)),"")="Sent for calibration",IFERROR(INDEX('Calibration Schedule'!J:J,MATCH(B399,'Calibration Schedule'!C:C,0)),"")="Scheduled for calibration"),IFERROR(INDEX('Calibration Schedule'!J:J,MATCH(B399,'Calibration Schedule'!C:C,0)),""),IF(M399&lt;TODAY(),"Expired",IF(M399&lt;=TODAY()+30,"Expiring Soon","Pass")))))</f>
        <v/>
      </c>
      <c r="O399" s="43"/>
      <c r="P399" s="42"/>
      <c r="Q399" s="42"/>
      <c r="R399" s="52"/>
    </row>
    <row r="400" spans="1:18">
      <c r="A400" s="38" t="str">
        <f t="shared" si="12"/>
        <v/>
      </c>
      <c r="B400" s="39"/>
      <c r="C400" s="38"/>
      <c r="D400" s="38"/>
      <c r="E400" s="39"/>
      <c r="F400" s="39"/>
      <c r="G400" s="39"/>
      <c r="H400" s="10"/>
      <c r="I400" s="38"/>
      <c r="J400" s="38"/>
      <c r="K400" s="38"/>
      <c r="L400" s="40"/>
      <c r="M400" s="40" t="str">
        <f t="shared" si="13"/>
        <v/>
      </c>
      <c r="N400" s="38" t="str">
        <f ca="1">IF(M400="","",IF(M400="","",IF(OR(IFERROR(INDEX('Calibration Schedule'!J:J,MATCH(B400,'Calibration Schedule'!C:C,0)),"")="Sent for calibration",IFERROR(INDEX('Calibration Schedule'!J:J,MATCH(B400,'Calibration Schedule'!C:C,0)),"")="Scheduled for calibration"),IFERROR(INDEX('Calibration Schedule'!J:J,MATCH(B400,'Calibration Schedule'!C:C,0)),""),IF(M400&lt;TODAY(),"Expired",IF(M400&lt;=TODAY()+30,"Expiring Soon","Pass")))))</f>
        <v/>
      </c>
      <c r="O400" s="10"/>
      <c r="P400" s="38"/>
      <c r="Q400" s="38"/>
      <c r="R400" s="52"/>
    </row>
    <row r="401" spans="1:18">
      <c r="A401" s="38" t="str">
        <f t="shared" si="12"/>
        <v/>
      </c>
      <c r="B401" s="41"/>
      <c r="C401" s="42"/>
      <c r="D401" s="42"/>
      <c r="E401" s="41"/>
      <c r="F401" s="41"/>
      <c r="G401" s="41"/>
      <c r="H401" s="43"/>
      <c r="I401" s="42"/>
      <c r="J401" s="42"/>
      <c r="K401" s="42"/>
      <c r="L401" s="44"/>
      <c r="M401" s="40" t="str">
        <f t="shared" si="13"/>
        <v/>
      </c>
      <c r="N401" s="38" t="str">
        <f ca="1">IF(M401="","",IF(M401="","",IF(OR(IFERROR(INDEX('Calibration Schedule'!J:J,MATCH(B401,'Calibration Schedule'!C:C,0)),"")="Sent for calibration",IFERROR(INDEX('Calibration Schedule'!J:J,MATCH(B401,'Calibration Schedule'!C:C,0)),"")="Scheduled for calibration"),IFERROR(INDEX('Calibration Schedule'!J:J,MATCH(B401,'Calibration Schedule'!C:C,0)),""),IF(M401&lt;TODAY(),"Expired",IF(M401&lt;=TODAY()+30,"Expiring Soon","Pass")))))</f>
        <v/>
      </c>
      <c r="O401" s="43"/>
      <c r="P401" s="42"/>
      <c r="Q401" s="42"/>
      <c r="R401" s="52"/>
    </row>
    <row r="402" spans="1:18">
      <c r="A402" s="38" t="str">
        <f t="shared" si="12"/>
        <v/>
      </c>
      <c r="B402" s="39"/>
      <c r="C402" s="38"/>
      <c r="D402" s="38"/>
      <c r="E402" s="39"/>
      <c r="F402" s="39"/>
      <c r="G402" s="39"/>
      <c r="H402" s="10"/>
      <c r="I402" s="38"/>
      <c r="J402" s="38"/>
      <c r="K402" s="38"/>
      <c r="L402" s="40"/>
      <c r="M402" s="40" t="str">
        <f t="shared" si="13"/>
        <v/>
      </c>
      <c r="N402" s="38" t="str">
        <f ca="1">IF(M402="","",IF(M402="","",IF(OR(IFERROR(INDEX('Calibration Schedule'!J:J,MATCH(B402,'Calibration Schedule'!C:C,0)),"")="Sent for calibration",IFERROR(INDEX('Calibration Schedule'!J:J,MATCH(B402,'Calibration Schedule'!C:C,0)),"")="Scheduled for calibration"),IFERROR(INDEX('Calibration Schedule'!J:J,MATCH(B402,'Calibration Schedule'!C:C,0)),""),IF(M402&lt;TODAY(),"Expired",IF(M402&lt;=TODAY()+30,"Expiring Soon","Pass")))))</f>
        <v/>
      </c>
      <c r="O402" s="10"/>
      <c r="P402" s="38"/>
      <c r="Q402" s="38"/>
      <c r="R402" s="52"/>
    </row>
    <row r="403" spans="1:18">
      <c r="A403" s="38" t="str">
        <f t="shared" si="12"/>
        <v/>
      </c>
      <c r="B403" s="41"/>
      <c r="C403" s="42"/>
      <c r="D403" s="42"/>
      <c r="E403" s="41"/>
      <c r="F403" s="41"/>
      <c r="G403" s="41"/>
      <c r="H403" s="43"/>
      <c r="I403" s="42"/>
      <c r="J403" s="42"/>
      <c r="K403" s="42"/>
      <c r="L403" s="44"/>
      <c r="M403" s="40" t="str">
        <f t="shared" si="13"/>
        <v/>
      </c>
      <c r="N403" s="38" t="str">
        <f ca="1">IF(M403="","",IF(M403="","",IF(OR(IFERROR(INDEX('Calibration Schedule'!J:J,MATCH(B403,'Calibration Schedule'!C:C,0)),"")="Sent for calibration",IFERROR(INDEX('Calibration Schedule'!J:J,MATCH(B403,'Calibration Schedule'!C:C,0)),"")="Scheduled for calibration"),IFERROR(INDEX('Calibration Schedule'!J:J,MATCH(B403,'Calibration Schedule'!C:C,0)),""),IF(M403&lt;TODAY(),"Expired",IF(M403&lt;=TODAY()+30,"Expiring Soon","Pass")))))</f>
        <v/>
      </c>
      <c r="O403" s="43"/>
      <c r="P403" s="42"/>
      <c r="Q403" s="42"/>
      <c r="R403" s="52"/>
    </row>
    <row r="404" spans="1:18">
      <c r="A404" s="38" t="str">
        <f t="shared" si="12"/>
        <v/>
      </c>
      <c r="B404" s="39"/>
      <c r="C404" s="38"/>
      <c r="D404" s="38"/>
      <c r="E404" s="39"/>
      <c r="F404" s="39"/>
      <c r="G404" s="39"/>
      <c r="H404" s="10"/>
      <c r="I404" s="38"/>
      <c r="J404" s="38"/>
      <c r="K404" s="38"/>
      <c r="L404" s="40"/>
      <c r="M404" s="40" t="str">
        <f t="shared" si="13"/>
        <v/>
      </c>
      <c r="N404" s="38" t="str">
        <f ca="1">IF(M404="","",IF(M404="","",IF(OR(IFERROR(INDEX('Calibration Schedule'!J:J,MATCH(B404,'Calibration Schedule'!C:C,0)),"")="Sent for calibration",IFERROR(INDEX('Calibration Schedule'!J:J,MATCH(B404,'Calibration Schedule'!C:C,0)),"")="Scheduled for calibration"),IFERROR(INDEX('Calibration Schedule'!J:J,MATCH(B404,'Calibration Schedule'!C:C,0)),""),IF(M404&lt;TODAY(),"Expired",IF(M404&lt;=TODAY()+30,"Expiring Soon","Pass")))))</f>
        <v/>
      </c>
      <c r="O404" s="10"/>
      <c r="P404" s="38"/>
      <c r="Q404" s="38"/>
      <c r="R404" s="52"/>
    </row>
    <row r="405" spans="1:18">
      <c r="A405" s="38" t="str">
        <f t="shared" si="12"/>
        <v/>
      </c>
      <c r="B405" s="41"/>
      <c r="C405" s="42"/>
      <c r="D405" s="42"/>
      <c r="E405" s="41"/>
      <c r="F405" s="41"/>
      <c r="G405" s="41"/>
      <c r="H405" s="43"/>
      <c r="I405" s="42"/>
      <c r="J405" s="42"/>
      <c r="K405" s="42"/>
      <c r="L405" s="44"/>
      <c r="M405" s="40" t="str">
        <f t="shared" si="13"/>
        <v/>
      </c>
      <c r="N405" s="38" t="str">
        <f ca="1">IF(M405="","",IF(M405="","",IF(OR(IFERROR(INDEX('Calibration Schedule'!J:J,MATCH(B405,'Calibration Schedule'!C:C,0)),"")="Sent for calibration",IFERROR(INDEX('Calibration Schedule'!J:J,MATCH(B405,'Calibration Schedule'!C:C,0)),"")="Scheduled for calibration"),IFERROR(INDEX('Calibration Schedule'!J:J,MATCH(B405,'Calibration Schedule'!C:C,0)),""),IF(M405&lt;TODAY(),"Expired",IF(M405&lt;=TODAY()+30,"Expiring Soon","Pass")))))</f>
        <v/>
      </c>
      <c r="O405" s="43"/>
      <c r="P405" s="42"/>
      <c r="Q405" s="42"/>
      <c r="R405" s="52"/>
    </row>
    <row r="406" spans="1:18">
      <c r="A406" s="38" t="str">
        <f t="shared" si="12"/>
        <v/>
      </c>
      <c r="B406" s="39"/>
      <c r="C406" s="38"/>
      <c r="D406" s="38"/>
      <c r="E406" s="39"/>
      <c r="F406" s="39"/>
      <c r="G406" s="39"/>
      <c r="H406" s="10"/>
      <c r="I406" s="38"/>
      <c r="J406" s="38"/>
      <c r="K406" s="38"/>
      <c r="L406" s="40"/>
      <c r="M406" s="40" t="str">
        <f t="shared" si="13"/>
        <v/>
      </c>
      <c r="N406" s="38" t="str">
        <f ca="1">IF(M406="","",IF(M406="","",IF(OR(IFERROR(INDEX('Calibration Schedule'!J:J,MATCH(B406,'Calibration Schedule'!C:C,0)),"")="Sent for calibration",IFERROR(INDEX('Calibration Schedule'!J:J,MATCH(B406,'Calibration Schedule'!C:C,0)),"")="Scheduled for calibration"),IFERROR(INDEX('Calibration Schedule'!J:J,MATCH(B406,'Calibration Schedule'!C:C,0)),""),IF(M406&lt;TODAY(),"Expired",IF(M406&lt;=TODAY()+30,"Expiring Soon","Pass")))))</f>
        <v/>
      </c>
      <c r="O406" s="10"/>
      <c r="P406" s="38"/>
      <c r="Q406" s="38"/>
      <c r="R406" s="52"/>
    </row>
    <row r="407" spans="1:18">
      <c r="A407" s="38" t="str">
        <f t="shared" si="12"/>
        <v/>
      </c>
      <c r="B407" s="41"/>
      <c r="C407" s="42"/>
      <c r="D407" s="42"/>
      <c r="E407" s="41"/>
      <c r="F407" s="41"/>
      <c r="G407" s="41"/>
      <c r="H407" s="43"/>
      <c r="I407" s="42"/>
      <c r="J407" s="42"/>
      <c r="K407" s="42"/>
      <c r="L407" s="44"/>
      <c r="M407" s="40" t="str">
        <f t="shared" si="13"/>
        <v/>
      </c>
      <c r="N407" s="38" t="str">
        <f ca="1">IF(M407="","",IF(M407="","",IF(OR(IFERROR(INDEX('Calibration Schedule'!J:J,MATCH(B407,'Calibration Schedule'!C:C,0)),"")="Sent for calibration",IFERROR(INDEX('Calibration Schedule'!J:J,MATCH(B407,'Calibration Schedule'!C:C,0)),"")="Scheduled for calibration"),IFERROR(INDEX('Calibration Schedule'!J:J,MATCH(B407,'Calibration Schedule'!C:C,0)),""),IF(M407&lt;TODAY(),"Expired",IF(M407&lt;=TODAY()+30,"Expiring Soon","Pass")))))</f>
        <v/>
      </c>
      <c r="O407" s="43"/>
      <c r="P407" s="42"/>
      <c r="Q407" s="42"/>
      <c r="R407" s="52"/>
    </row>
    <row r="408" spans="1:18">
      <c r="A408" s="38" t="str">
        <f t="shared" si="12"/>
        <v/>
      </c>
      <c r="B408" s="39"/>
      <c r="C408" s="38"/>
      <c r="D408" s="38"/>
      <c r="E408" s="39"/>
      <c r="F408" s="39"/>
      <c r="G408" s="39"/>
      <c r="H408" s="10"/>
      <c r="I408" s="38"/>
      <c r="J408" s="38"/>
      <c r="K408" s="38"/>
      <c r="L408" s="40"/>
      <c r="M408" s="40" t="str">
        <f t="shared" si="13"/>
        <v/>
      </c>
      <c r="N408" s="38" t="str">
        <f ca="1">IF(M408="","",IF(M408="","",IF(OR(IFERROR(INDEX('Calibration Schedule'!J:J,MATCH(B408,'Calibration Schedule'!C:C,0)),"")="Sent for calibration",IFERROR(INDEX('Calibration Schedule'!J:J,MATCH(B408,'Calibration Schedule'!C:C,0)),"")="Scheduled for calibration"),IFERROR(INDEX('Calibration Schedule'!J:J,MATCH(B408,'Calibration Schedule'!C:C,0)),""),IF(M408&lt;TODAY(),"Expired",IF(M408&lt;=TODAY()+30,"Expiring Soon","Pass")))))</f>
        <v/>
      </c>
      <c r="O408" s="10"/>
      <c r="P408" s="38"/>
      <c r="Q408" s="38"/>
      <c r="R408" s="52"/>
    </row>
    <row r="409" spans="1:18">
      <c r="A409" s="38" t="str">
        <f t="shared" si="12"/>
        <v/>
      </c>
      <c r="B409" s="41"/>
      <c r="C409" s="42"/>
      <c r="D409" s="42"/>
      <c r="E409" s="41"/>
      <c r="F409" s="41"/>
      <c r="G409" s="41"/>
      <c r="H409" s="43"/>
      <c r="I409" s="42"/>
      <c r="J409" s="42"/>
      <c r="K409" s="42"/>
      <c r="L409" s="44"/>
      <c r="M409" s="40" t="str">
        <f t="shared" si="13"/>
        <v/>
      </c>
      <c r="N409" s="38" t="str">
        <f ca="1">IF(M409="","",IF(M409="","",IF(OR(IFERROR(INDEX('Calibration Schedule'!J:J,MATCH(B409,'Calibration Schedule'!C:C,0)),"")="Sent for calibration",IFERROR(INDEX('Calibration Schedule'!J:J,MATCH(B409,'Calibration Schedule'!C:C,0)),"")="Scheduled for calibration"),IFERROR(INDEX('Calibration Schedule'!J:J,MATCH(B409,'Calibration Schedule'!C:C,0)),""),IF(M409&lt;TODAY(),"Expired",IF(M409&lt;=TODAY()+30,"Expiring Soon","Pass")))))</f>
        <v/>
      </c>
      <c r="O409" s="43"/>
      <c r="P409" s="42"/>
      <c r="Q409" s="42"/>
      <c r="R409" s="52"/>
    </row>
    <row r="410" spans="1:18">
      <c r="A410" s="38" t="str">
        <f t="shared" si="12"/>
        <v/>
      </c>
      <c r="B410" s="39"/>
      <c r="C410" s="38"/>
      <c r="D410" s="38"/>
      <c r="E410" s="39"/>
      <c r="F410" s="39"/>
      <c r="G410" s="39"/>
      <c r="H410" s="10"/>
      <c r="I410" s="38"/>
      <c r="J410" s="38"/>
      <c r="K410" s="38"/>
      <c r="L410" s="40"/>
      <c r="M410" s="40" t="str">
        <f t="shared" si="13"/>
        <v/>
      </c>
      <c r="N410" s="38" t="str">
        <f ca="1">IF(M410="","",IF(M410="","",IF(OR(IFERROR(INDEX('Calibration Schedule'!J:J,MATCH(B410,'Calibration Schedule'!C:C,0)),"")="Sent for calibration",IFERROR(INDEX('Calibration Schedule'!J:J,MATCH(B410,'Calibration Schedule'!C:C,0)),"")="Scheduled for calibration"),IFERROR(INDEX('Calibration Schedule'!J:J,MATCH(B410,'Calibration Schedule'!C:C,0)),""),IF(M410&lt;TODAY(),"Expired",IF(M410&lt;=TODAY()+30,"Expiring Soon","Pass")))))</f>
        <v/>
      </c>
      <c r="O410" s="10"/>
      <c r="P410" s="38"/>
      <c r="Q410" s="38"/>
      <c r="R410" s="52"/>
    </row>
    <row r="411" spans="1:18">
      <c r="A411" s="38" t="str">
        <f t="shared" si="12"/>
        <v/>
      </c>
      <c r="B411" s="41"/>
      <c r="C411" s="42"/>
      <c r="D411" s="42"/>
      <c r="E411" s="41"/>
      <c r="F411" s="41"/>
      <c r="G411" s="41"/>
      <c r="H411" s="43"/>
      <c r="I411" s="42"/>
      <c r="J411" s="42"/>
      <c r="K411" s="42"/>
      <c r="L411" s="44"/>
      <c r="M411" s="40" t="str">
        <f t="shared" si="13"/>
        <v/>
      </c>
      <c r="N411" s="38" t="str">
        <f ca="1">IF(M411="","",IF(M411="","",IF(OR(IFERROR(INDEX('Calibration Schedule'!J:J,MATCH(B411,'Calibration Schedule'!C:C,0)),"")="Sent for calibration",IFERROR(INDEX('Calibration Schedule'!J:J,MATCH(B411,'Calibration Schedule'!C:C,0)),"")="Scheduled for calibration"),IFERROR(INDEX('Calibration Schedule'!J:J,MATCH(B411,'Calibration Schedule'!C:C,0)),""),IF(M411&lt;TODAY(),"Expired",IF(M411&lt;=TODAY()+30,"Expiring Soon","Pass")))))</f>
        <v/>
      </c>
      <c r="O411" s="43"/>
      <c r="P411" s="42"/>
      <c r="Q411" s="42"/>
      <c r="R411" s="52"/>
    </row>
    <row r="412" spans="1:18">
      <c r="A412" s="38" t="str">
        <f t="shared" si="12"/>
        <v/>
      </c>
      <c r="B412" s="39"/>
      <c r="C412" s="38"/>
      <c r="D412" s="38"/>
      <c r="E412" s="39"/>
      <c r="F412" s="39"/>
      <c r="G412" s="39"/>
      <c r="H412" s="10"/>
      <c r="I412" s="38"/>
      <c r="J412" s="38"/>
      <c r="K412" s="38"/>
      <c r="L412" s="40"/>
      <c r="M412" s="40" t="str">
        <f t="shared" si="13"/>
        <v/>
      </c>
      <c r="N412" s="38" t="str">
        <f ca="1">IF(M412="","",IF(M412="","",IF(OR(IFERROR(INDEX('Calibration Schedule'!J:J,MATCH(B412,'Calibration Schedule'!C:C,0)),"")="Sent for calibration",IFERROR(INDEX('Calibration Schedule'!J:J,MATCH(B412,'Calibration Schedule'!C:C,0)),"")="Scheduled for calibration"),IFERROR(INDEX('Calibration Schedule'!J:J,MATCH(B412,'Calibration Schedule'!C:C,0)),""),IF(M412&lt;TODAY(),"Expired",IF(M412&lt;=TODAY()+30,"Expiring Soon","Pass")))))</f>
        <v/>
      </c>
      <c r="O412" s="10"/>
      <c r="P412" s="38"/>
      <c r="Q412" s="38"/>
      <c r="R412" s="52"/>
    </row>
    <row r="413" spans="1:18">
      <c r="A413" s="38" t="str">
        <f t="shared" si="12"/>
        <v/>
      </c>
      <c r="B413" s="41"/>
      <c r="C413" s="42"/>
      <c r="D413" s="42"/>
      <c r="E413" s="41"/>
      <c r="F413" s="41"/>
      <c r="G413" s="41"/>
      <c r="H413" s="43"/>
      <c r="I413" s="42"/>
      <c r="J413" s="42"/>
      <c r="K413" s="42"/>
      <c r="L413" s="44"/>
      <c r="M413" s="40" t="str">
        <f t="shared" si="13"/>
        <v/>
      </c>
      <c r="N413" s="38" t="str">
        <f ca="1">IF(M413="","",IF(M413="","",IF(OR(IFERROR(INDEX('Calibration Schedule'!J:J,MATCH(B413,'Calibration Schedule'!C:C,0)),"")="Sent for calibration",IFERROR(INDEX('Calibration Schedule'!J:J,MATCH(B413,'Calibration Schedule'!C:C,0)),"")="Scheduled for calibration"),IFERROR(INDEX('Calibration Schedule'!J:J,MATCH(B413,'Calibration Schedule'!C:C,0)),""),IF(M413&lt;TODAY(),"Expired",IF(M413&lt;=TODAY()+30,"Expiring Soon","Pass")))))</f>
        <v/>
      </c>
      <c r="O413" s="43"/>
      <c r="P413" s="42"/>
      <c r="Q413" s="42"/>
      <c r="R413" s="52"/>
    </row>
    <row r="414" spans="1:18">
      <c r="A414" s="38" t="str">
        <f t="shared" si="12"/>
        <v/>
      </c>
      <c r="B414" s="39"/>
      <c r="C414" s="38"/>
      <c r="D414" s="38"/>
      <c r="E414" s="39"/>
      <c r="F414" s="39"/>
      <c r="G414" s="39"/>
      <c r="H414" s="10"/>
      <c r="I414" s="38"/>
      <c r="J414" s="38"/>
      <c r="K414" s="38"/>
      <c r="L414" s="40"/>
      <c r="M414" s="40" t="str">
        <f t="shared" si="13"/>
        <v/>
      </c>
      <c r="N414" s="38" t="str">
        <f ca="1">IF(M414="","",IF(M414="","",IF(OR(IFERROR(INDEX('Calibration Schedule'!J:J,MATCH(B414,'Calibration Schedule'!C:C,0)),"")="Sent for calibration",IFERROR(INDEX('Calibration Schedule'!J:J,MATCH(B414,'Calibration Schedule'!C:C,0)),"")="Scheduled for calibration"),IFERROR(INDEX('Calibration Schedule'!J:J,MATCH(B414,'Calibration Schedule'!C:C,0)),""),IF(M414&lt;TODAY(),"Expired",IF(M414&lt;=TODAY()+30,"Expiring Soon","Pass")))))</f>
        <v/>
      </c>
      <c r="O414" s="10"/>
      <c r="P414" s="38"/>
      <c r="Q414" s="38"/>
      <c r="R414" s="52"/>
    </row>
    <row r="415" spans="1:18">
      <c r="A415" s="38" t="str">
        <f t="shared" si="12"/>
        <v/>
      </c>
      <c r="B415" s="41"/>
      <c r="C415" s="42"/>
      <c r="D415" s="42"/>
      <c r="E415" s="41"/>
      <c r="F415" s="41"/>
      <c r="G415" s="41"/>
      <c r="H415" s="43"/>
      <c r="I415" s="42"/>
      <c r="J415" s="42"/>
      <c r="K415" s="42"/>
      <c r="L415" s="44"/>
      <c r="M415" s="40" t="str">
        <f t="shared" si="13"/>
        <v/>
      </c>
      <c r="N415" s="38" t="str">
        <f ca="1">IF(M415="","",IF(M415="","",IF(OR(IFERROR(INDEX('Calibration Schedule'!J:J,MATCH(B415,'Calibration Schedule'!C:C,0)),"")="Sent for calibration",IFERROR(INDEX('Calibration Schedule'!J:J,MATCH(B415,'Calibration Schedule'!C:C,0)),"")="Scheduled for calibration"),IFERROR(INDEX('Calibration Schedule'!J:J,MATCH(B415,'Calibration Schedule'!C:C,0)),""),IF(M415&lt;TODAY(),"Expired",IF(M415&lt;=TODAY()+30,"Expiring Soon","Pass")))))</f>
        <v/>
      </c>
      <c r="O415" s="43"/>
      <c r="P415" s="42"/>
      <c r="Q415" s="42"/>
      <c r="R415" s="52"/>
    </row>
    <row r="416" spans="1:18">
      <c r="A416" s="38" t="str">
        <f t="shared" si="12"/>
        <v/>
      </c>
      <c r="B416" s="39"/>
      <c r="C416" s="38"/>
      <c r="D416" s="38"/>
      <c r="E416" s="39"/>
      <c r="F416" s="39"/>
      <c r="G416" s="39"/>
      <c r="H416" s="10"/>
      <c r="I416" s="38"/>
      <c r="J416" s="38"/>
      <c r="K416" s="38"/>
      <c r="L416" s="40"/>
      <c r="M416" s="40" t="str">
        <f t="shared" si="13"/>
        <v/>
      </c>
      <c r="N416" s="38" t="str">
        <f ca="1">IF(M416="","",IF(M416="","",IF(OR(IFERROR(INDEX('Calibration Schedule'!J:J,MATCH(B416,'Calibration Schedule'!C:C,0)),"")="Sent for calibration",IFERROR(INDEX('Calibration Schedule'!J:J,MATCH(B416,'Calibration Schedule'!C:C,0)),"")="Scheduled for calibration"),IFERROR(INDEX('Calibration Schedule'!J:J,MATCH(B416,'Calibration Schedule'!C:C,0)),""),IF(M416&lt;TODAY(),"Expired",IF(M416&lt;=TODAY()+30,"Expiring Soon","Pass")))))</f>
        <v/>
      </c>
      <c r="O416" s="10"/>
      <c r="P416" s="38"/>
      <c r="Q416" s="38"/>
      <c r="R416" s="52"/>
    </row>
    <row r="417" spans="1:18">
      <c r="A417" s="38" t="str">
        <f t="shared" si="12"/>
        <v/>
      </c>
      <c r="B417" s="41"/>
      <c r="C417" s="42"/>
      <c r="D417" s="42"/>
      <c r="E417" s="41"/>
      <c r="F417" s="41"/>
      <c r="G417" s="41"/>
      <c r="H417" s="43"/>
      <c r="I417" s="42"/>
      <c r="J417" s="42"/>
      <c r="K417" s="42"/>
      <c r="L417" s="44"/>
      <c r="M417" s="40" t="str">
        <f t="shared" si="13"/>
        <v/>
      </c>
      <c r="N417" s="38" t="str">
        <f ca="1">IF(M417="","",IF(M417="","",IF(OR(IFERROR(INDEX('Calibration Schedule'!J:J,MATCH(B417,'Calibration Schedule'!C:C,0)),"")="Sent for calibration",IFERROR(INDEX('Calibration Schedule'!J:J,MATCH(B417,'Calibration Schedule'!C:C,0)),"")="Scheduled for calibration"),IFERROR(INDEX('Calibration Schedule'!J:J,MATCH(B417,'Calibration Schedule'!C:C,0)),""),IF(M417&lt;TODAY(),"Expired",IF(M417&lt;=TODAY()+30,"Expiring Soon","Pass")))))</f>
        <v/>
      </c>
      <c r="O417" s="43"/>
      <c r="P417" s="42"/>
      <c r="Q417" s="42"/>
      <c r="R417" s="52"/>
    </row>
    <row r="418" spans="1:18">
      <c r="A418" s="38" t="str">
        <f t="shared" si="12"/>
        <v/>
      </c>
      <c r="B418" s="39"/>
      <c r="C418" s="38"/>
      <c r="D418" s="38"/>
      <c r="E418" s="39"/>
      <c r="F418" s="39"/>
      <c r="G418" s="39"/>
      <c r="H418" s="10"/>
      <c r="I418" s="38"/>
      <c r="J418" s="38"/>
      <c r="K418" s="38"/>
      <c r="L418" s="40"/>
      <c r="M418" s="40" t="str">
        <f t="shared" si="13"/>
        <v/>
      </c>
      <c r="N418" s="38" t="str">
        <f ca="1">IF(M418="","",IF(M418="","",IF(OR(IFERROR(INDEX('Calibration Schedule'!J:J,MATCH(B418,'Calibration Schedule'!C:C,0)),"")="Sent for calibration",IFERROR(INDEX('Calibration Schedule'!J:J,MATCH(B418,'Calibration Schedule'!C:C,0)),"")="Scheduled for calibration"),IFERROR(INDEX('Calibration Schedule'!J:J,MATCH(B418,'Calibration Schedule'!C:C,0)),""),IF(M418&lt;TODAY(),"Expired",IF(M418&lt;=TODAY()+30,"Expiring Soon","Pass")))))</f>
        <v/>
      </c>
      <c r="O418" s="10"/>
      <c r="P418" s="38"/>
      <c r="Q418" s="38"/>
      <c r="R418" s="52"/>
    </row>
    <row r="419" spans="1:18">
      <c r="A419" s="38" t="str">
        <f t="shared" si="12"/>
        <v/>
      </c>
      <c r="B419" s="41"/>
      <c r="C419" s="42"/>
      <c r="D419" s="42"/>
      <c r="E419" s="41"/>
      <c r="F419" s="41"/>
      <c r="G419" s="41"/>
      <c r="H419" s="43"/>
      <c r="I419" s="42"/>
      <c r="J419" s="42"/>
      <c r="K419" s="42"/>
      <c r="L419" s="44"/>
      <c r="M419" s="40" t="str">
        <f t="shared" si="13"/>
        <v/>
      </c>
      <c r="N419" s="38" t="str">
        <f ca="1">IF(M419="","",IF(M419="","",IF(OR(IFERROR(INDEX('Calibration Schedule'!J:J,MATCH(B419,'Calibration Schedule'!C:C,0)),"")="Sent for calibration",IFERROR(INDEX('Calibration Schedule'!J:J,MATCH(B419,'Calibration Schedule'!C:C,0)),"")="Scheduled for calibration"),IFERROR(INDEX('Calibration Schedule'!J:J,MATCH(B419,'Calibration Schedule'!C:C,0)),""),IF(M419&lt;TODAY(),"Expired",IF(M419&lt;=TODAY()+30,"Expiring Soon","Pass")))))</f>
        <v/>
      </c>
      <c r="O419" s="43"/>
      <c r="P419" s="42"/>
      <c r="Q419" s="42"/>
      <c r="R419" s="52"/>
    </row>
    <row r="420" spans="1:18">
      <c r="A420" s="38" t="str">
        <f t="shared" si="12"/>
        <v/>
      </c>
      <c r="B420" s="39"/>
      <c r="C420" s="38"/>
      <c r="D420" s="38"/>
      <c r="E420" s="39"/>
      <c r="F420" s="39"/>
      <c r="G420" s="39"/>
      <c r="H420" s="10"/>
      <c r="I420" s="38"/>
      <c r="J420" s="38"/>
      <c r="K420" s="38"/>
      <c r="L420" s="40"/>
      <c r="M420" s="40" t="str">
        <f t="shared" si="13"/>
        <v/>
      </c>
      <c r="N420" s="38" t="str">
        <f ca="1">IF(M420="","",IF(M420="","",IF(OR(IFERROR(INDEX('Calibration Schedule'!J:J,MATCH(B420,'Calibration Schedule'!C:C,0)),"")="Sent for calibration",IFERROR(INDEX('Calibration Schedule'!J:J,MATCH(B420,'Calibration Schedule'!C:C,0)),"")="Scheduled for calibration"),IFERROR(INDEX('Calibration Schedule'!J:J,MATCH(B420,'Calibration Schedule'!C:C,0)),""),IF(M420&lt;TODAY(),"Expired",IF(M420&lt;=TODAY()+30,"Expiring Soon","Pass")))))</f>
        <v/>
      </c>
      <c r="O420" s="10"/>
      <c r="P420" s="38"/>
      <c r="Q420" s="38"/>
      <c r="R420" s="52"/>
    </row>
    <row r="421" spans="1:18">
      <c r="A421" s="38" t="str">
        <f t="shared" si="12"/>
        <v/>
      </c>
      <c r="B421" s="41"/>
      <c r="C421" s="42"/>
      <c r="D421" s="42"/>
      <c r="E421" s="41"/>
      <c r="F421" s="41"/>
      <c r="G421" s="41"/>
      <c r="H421" s="43"/>
      <c r="I421" s="42"/>
      <c r="J421" s="42"/>
      <c r="K421" s="42"/>
      <c r="L421" s="44"/>
      <c r="M421" s="40" t="str">
        <f t="shared" si="13"/>
        <v/>
      </c>
      <c r="N421" s="38" t="str">
        <f ca="1">IF(M421="","",IF(M421="","",IF(OR(IFERROR(INDEX('Calibration Schedule'!J:J,MATCH(B421,'Calibration Schedule'!C:C,0)),"")="Sent for calibration",IFERROR(INDEX('Calibration Schedule'!J:J,MATCH(B421,'Calibration Schedule'!C:C,0)),"")="Scheduled for calibration"),IFERROR(INDEX('Calibration Schedule'!J:J,MATCH(B421,'Calibration Schedule'!C:C,0)),""),IF(M421&lt;TODAY(),"Expired",IF(M421&lt;=TODAY()+30,"Expiring Soon","Pass")))))</f>
        <v/>
      </c>
      <c r="O421" s="43"/>
      <c r="P421" s="42"/>
      <c r="Q421" s="42"/>
      <c r="R421" s="52"/>
    </row>
    <row r="422" spans="1:18">
      <c r="A422" s="38" t="str">
        <f t="shared" si="12"/>
        <v/>
      </c>
      <c r="B422" s="39"/>
      <c r="C422" s="38"/>
      <c r="D422" s="38"/>
      <c r="E422" s="39"/>
      <c r="F422" s="39"/>
      <c r="G422" s="39"/>
      <c r="H422" s="10"/>
      <c r="I422" s="38"/>
      <c r="J422" s="38"/>
      <c r="K422" s="38"/>
      <c r="L422" s="40"/>
      <c r="M422" s="40" t="str">
        <f t="shared" si="13"/>
        <v/>
      </c>
      <c r="N422" s="38" t="str">
        <f ca="1">IF(M422="","",IF(M422="","",IF(OR(IFERROR(INDEX('Calibration Schedule'!J:J,MATCH(B422,'Calibration Schedule'!C:C,0)),"")="Sent for calibration",IFERROR(INDEX('Calibration Schedule'!J:J,MATCH(B422,'Calibration Schedule'!C:C,0)),"")="Scheduled for calibration"),IFERROR(INDEX('Calibration Schedule'!J:J,MATCH(B422,'Calibration Schedule'!C:C,0)),""),IF(M422&lt;TODAY(),"Expired",IF(M422&lt;=TODAY()+30,"Expiring Soon","Pass")))))</f>
        <v/>
      </c>
      <c r="O422" s="10"/>
      <c r="P422" s="38"/>
      <c r="Q422" s="38"/>
      <c r="R422" s="52"/>
    </row>
    <row r="423" spans="1:18">
      <c r="A423" s="38" t="str">
        <f t="shared" si="12"/>
        <v/>
      </c>
      <c r="B423" s="41"/>
      <c r="C423" s="42"/>
      <c r="D423" s="42"/>
      <c r="E423" s="41"/>
      <c r="F423" s="41"/>
      <c r="G423" s="41"/>
      <c r="H423" s="43"/>
      <c r="I423" s="42"/>
      <c r="J423" s="42"/>
      <c r="K423" s="42"/>
      <c r="L423" s="44"/>
      <c r="M423" s="40" t="str">
        <f t="shared" si="13"/>
        <v/>
      </c>
      <c r="N423" s="38" t="str">
        <f ca="1">IF(M423="","",IF(M423="","",IF(OR(IFERROR(INDEX('Calibration Schedule'!J:J,MATCH(B423,'Calibration Schedule'!C:C,0)),"")="Sent for calibration",IFERROR(INDEX('Calibration Schedule'!J:J,MATCH(B423,'Calibration Schedule'!C:C,0)),"")="Scheduled for calibration"),IFERROR(INDEX('Calibration Schedule'!J:J,MATCH(B423,'Calibration Schedule'!C:C,0)),""),IF(M423&lt;TODAY(),"Expired",IF(M423&lt;=TODAY()+30,"Expiring Soon","Pass")))))</f>
        <v/>
      </c>
      <c r="O423" s="43"/>
      <c r="P423" s="42"/>
      <c r="Q423" s="42"/>
      <c r="R423" s="52"/>
    </row>
    <row r="424" spans="1:18">
      <c r="A424" s="38" t="str">
        <f t="shared" si="12"/>
        <v/>
      </c>
      <c r="B424" s="39"/>
      <c r="C424" s="38"/>
      <c r="D424" s="38"/>
      <c r="E424" s="39"/>
      <c r="F424" s="39"/>
      <c r="G424" s="39"/>
      <c r="H424" s="10"/>
      <c r="I424" s="38"/>
      <c r="J424" s="38"/>
      <c r="K424" s="38"/>
      <c r="L424" s="40"/>
      <c r="M424" s="40" t="str">
        <f t="shared" si="13"/>
        <v/>
      </c>
      <c r="N424" s="38" t="str">
        <f ca="1">IF(M424="","",IF(M424="","",IF(OR(IFERROR(INDEX('Calibration Schedule'!J:J,MATCH(B424,'Calibration Schedule'!C:C,0)),"")="Sent for calibration",IFERROR(INDEX('Calibration Schedule'!J:J,MATCH(B424,'Calibration Schedule'!C:C,0)),"")="Scheduled for calibration"),IFERROR(INDEX('Calibration Schedule'!J:J,MATCH(B424,'Calibration Schedule'!C:C,0)),""),IF(M424&lt;TODAY(),"Expired",IF(M424&lt;=TODAY()+30,"Expiring Soon","Pass")))))</f>
        <v/>
      </c>
      <c r="O424" s="10"/>
      <c r="P424" s="38"/>
      <c r="Q424" s="38"/>
      <c r="R424" s="52"/>
    </row>
    <row r="425" spans="1:18">
      <c r="A425" s="38" t="str">
        <f t="shared" si="12"/>
        <v/>
      </c>
      <c r="B425" s="41"/>
      <c r="C425" s="42"/>
      <c r="D425" s="42"/>
      <c r="E425" s="41"/>
      <c r="F425" s="41"/>
      <c r="G425" s="41"/>
      <c r="H425" s="43"/>
      <c r="I425" s="42"/>
      <c r="J425" s="42"/>
      <c r="K425" s="42"/>
      <c r="L425" s="44"/>
      <c r="M425" s="40" t="str">
        <f t="shared" si="13"/>
        <v/>
      </c>
      <c r="N425" s="38" t="str">
        <f ca="1">IF(M425="","",IF(M425="","",IF(OR(IFERROR(INDEX('Calibration Schedule'!J:J,MATCH(B425,'Calibration Schedule'!C:C,0)),"")="Sent for calibration",IFERROR(INDEX('Calibration Schedule'!J:J,MATCH(B425,'Calibration Schedule'!C:C,0)),"")="Scheduled for calibration"),IFERROR(INDEX('Calibration Schedule'!J:J,MATCH(B425,'Calibration Schedule'!C:C,0)),""),IF(M425&lt;TODAY(),"Expired",IF(M425&lt;=TODAY()+30,"Expiring Soon","Pass")))))</f>
        <v/>
      </c>
      <c r="O425" s="43"/>
      <c r="P425" s="42"/>
      <c r="Q425" s="42"/>
      <c r="R425" s="52"/>
    </row>
    <row r="426" spans="1:18">
      <c r="A426" s="38" t="str">
        <f t="shared" si="12"/>
        <v/>
      </c>
      <c r="B426" s="39"/>
      <c r="C426" s="38"/>
      <c r="D426" s="38"/>
      <c r="E426" s="39"/>
      <c r="F426" s="39"/>
      <c r="G426" s="39"/>
      <c r="H426" s="10"/>
      <c r="I426" s="38"/>
      <c r="J426" s="38"/>
      <c r="K426" s="38"/>
      <c r="L426" s="40"/>
      <c r="M426" s="40" t="str">
        <f t="shared" si="13"/>
        <v/>
      </c>
      <c r="N426" s="38" t="str">
        <f ca="1">IF(M426="","",IF(M426="","",IF(OR(IFERROR(INDEX('Calibration Schedule'!J:J,MATCH(B426,'Calibration Schedule'!C:C,0)),"")="Sent for calibration",IFERROR(INDEX('Calibration Schedule'!J:J,MATCH(B426,'Calibration Schedule'!C:C,0)),"")="Scheduled for calibration"),IFERROR(INDEX('Calibration Schedule'!J:J,MATCH(B426,'Calibration Schedule'!C:C,0)),""),IF(M426&lt;TODAY(),"Expired",IF(M426&lt;=TODAY()+30,"Expiring Soon","Pass")))))</f>
        <v/>
      </c>
      <c r="O426" s="10"/>
      <c r="P426" s="38"/>
      <c r="Q426" s="38"/>
      <c r="R426" s="52"/>
    </row>
    <row r="427" spans="1:18">
      <c r="A427" s="38" t="str">
        <f t="shared" si="12"/>
        <v/>
      </c>
      <c r="B427" s="41"/>
      <c r="C427" s="42"/>
      <c r="D427" s="42"/>
      <c r="E427" s="41"/>
      <c r="F427" s="41"/>
      <c r="G427" s="41"/>
      <c r="H427" s="43"/>
      <c r="I427" s="42"/>
      <c r="J427" s="42"/>
      <c r="K427" s="42"/>
      <c r="L427" s="44"/>
      <c r="M427" s="40" t="str">
        <f t="shared" si="13"/>
        <v/>
      </c>
      <c r="N427" s="38" t="str">
        <f ca="1">IF(M427="","",IF(M427="","",IF(OR(IFERROR(INDEX('Calibration Schedule'!J:J,MATCH(B427,'Calibration Schedule'!C:C,0)),"")="Sent for calibration",IFERROR(INDEX('Calibration Schedule'!J:J,MATCH(B427,'Calibration Schedule'!C:C,0)),"")="Scheduled for calibration"),IFERROR(INDEX('Calibration Schedule'!J:J,MATCH(B427,'Calibration Schedule'!C:C,0)),""),IF(M427&lt;TODAY(),"Expired",IF(M427&lt;=TODAY()+30,"Expiring Soon","Pass")))))</f>
        <v/>
      </c>
      <c r="O427" s="43"/>
      <c r="P427" s="42"/>
      <c r="Q427" s="42"/>
      <c r="R427" s="52"/>
    </row>
    <row r="428" spans="1:18">
      <c r="A428" s="38" t="str">
        <f t="shared" si="12"/>
        <v/>
      </c>
      <c r="B428" s="39"/>
      <c r="C428" s="38"/>
      <c r="D428" s="38"/>
      <c r="E428" s="39"/>
      <c r="F428" s="39"/>
      <c r="G428" s="39"/>
      <c r="H428" s="10"/>
      <c r="I428" s="38"/>
      <c r="J428" s="38"/>
      <c r="K428" s="38"/>
      <c r="L428" s="40"/>
      <c r="M428" s="40" t="str">
        <f t="shared" si="13"/>
        <v/>
      </c>
      <c r="N428" s="38" t="str">
        <f ca="1">IF(M428="","",IF(M428="","",IF(OR(IFERROR(INDEX('Calibration Schedule'!J:J,MATCH(B428,'Calibration Schedule'!C:C,0)),"")="Sent for calibration",IFERROR(INDEX('Calibration Schedule'!J:J,MATCH(B428,'Calibration Schedule'!C:C,0)),"")="Scheduled for calibration"),IFERROR(INDEX('Calibration Schedule'!J:J,MATCH(B428,'Calibration Schedule'!C:C,0)),""),IF(M428&lt;TODAY(),"Expired",IF(M428&lt;=TODAY()+30,"Expiring Soon","Pass")))))</f>
        <v/>
      </c>
      <c r="O428" s="10"/>
      <c r="P428" s="38"/>
      <c r="Q428" s="38"/>
      <c r="R428" s="52"/>
    </row>
    <row r="429" spans="1:18">
      <c r="A429" s="38" t="str">
        <f t="shared" si="12"/>
        <v/>
      </c>
      <c r="B429" s="41"/>
      <c r="C429" s="42"/>
      <c r="D429" s="42"/>
      <c r="E429" s="41"/>
      <c r="F429" s="41"/>
      <c r="G429" s="41"/>
      <c r="H429" s="43"/>
      <c r="I429" s="42"/>
      <c r="J429" s="42"/>
      <c r="K429" s="42"/>
      <c r="L429" s="44"/>
      <c r="M429" s="40" t="str">
        <f t="shared" si="13"/>
        <v/>
      </c>
      <c r="N429" s="38" t="str">
        <f ca="1">IF(M429="","",IF(M429="","",IF(OR(IFERROR(INDEX('Calibration Schedule'!J:J,MATCH(B429,'Calibration Schedule'!C:C,0)),"")="Sent for calibration",IFERROR(INDEX('Calibration Schedule'!J:J,MATCH(B429,'Calibration Schedule'!C:C,0)),"")="Scheduled for calibration"),IFERROR(INDEX('Calibration Schedule'!J:J,MATCH(B429,'Calibration Schedule'!C:C,0)),""),IF(M429&lt;TODAY(),"Expired",IF(M429&lt;=TODAY()+30,"Expiring Soon","Pass")))))</f>
        <v/>
      </c>
      <c r="O429" s="43"/>
      <c r="P429" s="42"/>
      <c r="Q429" s="42"/>
      <c r="R429" s="52"/>
    </row>
    <row r="430" spans="1:18">
      <c r="A430" s="38" t="str">
        <f t="shared" si="12"/>
        <v/>
      </c>
      <c r="B430" s="39"/>
      <c r="C430" s="38"/>
      <c r="D430" s="38"/>
      <c r="E430" s="39"/>
      <c r="F430" s="39"/>
      <c r="G430" s="39"/>
      <c r="H430" s="10"/>
      <c r="I430" s="38"/>
      <c r="J430" s="38"/>
      <c r="K430" s="38"/>
      <c r="L430" s="40"/>
      <c r="M430" s="40" t="str">
        <f t="shared" si="13"/>
        <v/>
      </c>
      <c r="N430" s="38" t="str">
        <f ca="1">IF(M430="","",IF(M430="","",IF(OR(IFERROR(INDEX('Calibration Schedule'!J:J,MATCH(B430,'Calibration Schedule'!C:C,0)),"")="Sent for calibration",IFERROR(INDEX('Calibration Schedule'!J:J,MATCH(B430,'Calibration Schedule'!C:C,0)),"")="Scheduled for calibration"),IFERROR(INDEX('Calibration Schedule'!J:J,MATCH(B430,'Calibration Schedule'!C:C,0)),""),IF(M430&lt;TODAY(),"Expired",IF(M430&lt;=TODAY()+30,"Expiring Soon","Pass")))))</f>
        <v/>
      </c>
      <c r="O430" s="10"/>
      <c r="P430" s="38"/>
      <c r="Q430" s="38"/>
      <c r="R430" s="52"/>
    </row>
    <row r="431" spans="1:18">
      <c r="A431" s="38" t="str">
        <f t="shared" si="12"/>
        <v/>
      </c>
      <c r="B431" s="41"/>
      <c r="C431" s="42"/>
      <c r="D431" s="42"/>
      <c r="E431" s="41"/>
      <c r="F431" s="41"/>
      <c r="G431" s="41"/>
      <c r="H431" s="43"/>
      <c r="I431" s="42"/>
      <c r="J431" s="42"/>
      <c r="K431" s="42"/>
      <c r="L431" s="44"/>
      <c r="M431" s="40" t="str">
        <f t="shared" si="13"/>
        <v/>
      </c>
      <c r="N431" s="38" t="str">
        <f ca="1">IF(M431="","",IF(M431="","",IF(OR(IFERROR(INDEX('Calibration Schedule'!J:J,MATCH(B431,'Calibration Schedule'!C:C,0)),"")="Sent for calibration",IFERROR(INDEX('Calibration Schedule'!J:J,MATCH(B431,'Calibration Schedule'!C:C,0)),"")="Scheduled for calibration"),IFERROR(INDEX('Calibration Schedule'!J:J,MATCH(B431,'Calibration Schedule'!C:C,0)),""),IF(M431&lt;TODAY(),"Expired",IF(M431&lt;=TODAY()+30,"Expiring Soon","Pass")))))</f>
        <v/>
      </c>
      <c r="O431" s="43"/>
      <c r="P431" s="42"/>
      <c r="Q431" s="42"/>
      <c r="R431" s="52"/>
    </row>
    <row r="432" spans="1:18">
      <c r="A432" s="38" t="str">
        <f t="shared" si="12"/>
        <v/>
      </c>
      <c r="B432" s="39"/>
      <c r="C432" s="38"/>
      <c r="D432" s="38"/>
      <c r="E432" s="39"/>
      <c r="F432" s="39"/>
      <c r="G432" s="39"/>
      <c r="H432" s="10"/>
      <c r="I432" s="38"/>
      <c r="J432" s="38"/>
      <c r="K432" s="38"/>
      <c r="L432" s="40"/>
      <c r="M432" s="40" t="str">
        <f t="shared" si="13"/>
        <v/>
      </c>
      <c r="N432" s="38" t="str">
        <f ca="1">IF(M432="","",IF(M432="","",IF(OR(IFERROR(INDEX('Calibration Schedule'!J:J,MATCH(B432,'Calibration Schedule'!C:C,0)),"")="Sent for calibration",IFERROR(INDEX('Calibration Schedule'!J:J,MATCH(B432,'Calibration Schedule'!C:C,0)),"")="Scheduled for calibration"),IFERROR(INDEX('Calibration Schedule'!J:J,MATCH(B432,'Calibration Schedule'!C:C,0)),""),IF(M432&lt;TODAY(),"Expired",IF(M432&lt;=TODAY()+30,"Expiring Soon","Pass")))))</f>
        <v/>
      </c>
      <c r="O432" s="10"/>
      <c r="P432" s="38"/>
      <c r="Q432" s="38"/>
      <c r="R432" s="52"/>
    </row>
    <row r="433" spans="1:18">
      <c r="A433" s="38" t="str">
        <f t="shared" si="12"/>
        <v/>
      </c>
      <c r="B433" s="41"/>
      <c r="C433" s="42"/>
      <c r="D433" s="42"/>
      <c r="E433" s="41"/>
      <c r="F433" s="41"/>
      <c r="G433" s="41"/>
      <c r="H433" s="43"/>
      <c r="I433" s="42"/>
      <c r="J433" s="42"/>
      <c r="K433" s="42"/>
      <c r="L433" s="44"/>
      <c r="M433" s="40" t="str">
        <f t="shared" si="13"/>
        <v/>
      </c>
      <c r="N433" s="38" t="str">
        <f ca="1">IF(M433="","",IF(M433="","",IF(OR(IFERROR(INDEX('Calibration Schedule'!J:J,MATCH(B433,'Calibration Schedule'!C:C,0)),"")="Sent for calibration",IFERROR(INDEX('Calibration Schedule'!J:J,MATCH(B433,'Calibration Schedule'!C:C,0)),"")="Scheduled for calibration"),IFERROR(INDEX('Calibration Schedule'!J:J,MATCH(B433,'Calibration Schedule'!C:C,0)),""),IF(M433&lt;TODAY(),"Expired",IF(M433&lt;=TODAY()+30,"Expiring Soon","Pass")))))</f>
        <v/>
      </c>
      <c r="O433" s="43"/>
      <c r="P433" s="42"/>
      <c r="Q433" s="42"/>
      <c r="R433" s="52"/>
    </row>
    <row r="434" spans="1:18">
      <c r="A434" s="38" t="str">
        <f t="shared" si="12"/>
        <v/>
      </c>
      <c r="B434" s="39"/>
      <c r="C434" s="38"/>
      <c r="D434" s="38"/>
      <c r="E434" s="39"/>
      <c r="F434" s="39"/>
      <c r="G434" s="39"/>
      <c r="H434" s="10"/>
      <c r="I434" s="38"/>
      <c r="J434" s="38"/>
      <c r="K434" s="38"/>
      <c r="L434" s="40"/>
      <c r="M434" s="40" t="str">
        <f t="shared" si="13"/>
        <v/>
      </c>
      <c r="N434" s="38" t="str">
        <f ca="1">IF(M434="","",IF(M434="","",IF(OR(IFERROR(INDEX('Calibration Schedule'!J:J,MATCH(B434,'Calibration Schedule'!C:C,0)),"")="Sent for calibration",IFERROR(INDEX('Calibration Schedule'!J:J,MATCH(B434,'Calibration Schedule'!C:C,0)),"")="Scheduled for calibration"),IFERROR(INDEX('Calibration Schedule'!J:J,MATCH(B434,'Calibration Schedule'!C:C,0)),""),IF(M434&lt;TODAY(),"Expired",IF(M434&lt;=TODAY()+30,"Expiring Soon","Pass")))))</f>
        <v/>
      </c>
      <c r="O434" s="10"/>
      <c r="P434" s="38"/>
      <c r="Q434" s="38"/>
      <c r="R434" s="52"/>
    </row>
    <row r="435" spans="1:18">
      <c r="A435" s="38" t="str">
        <f t="shared" si="12"/>
        <v/>
      </c>
      <c r="B435" s="41"/>
      <c r="C435" s="42"/>
      <c r="D435" s="42"/>
      <c r="E435" s="41"/>
      <c r="F435" s="41"/>
      <c r="G435" s="41"/>
      <c r="H435" s="43"/>
      <c r="I435" s="42"/>
      <c r="J435" s="42"/>
      <c r="K435" s="42"/>
      <c r="L435" s="44"/>
      <c r="M435" s="40" t="str">
        <f t="shared" si="13"/>
        <v/>
      </c>
      <c r="N435" s="38" t="str">
        <f ca="1">IF(M435="","",IF(M435="","",IF(OR(IFERROR(INDEX('Calibration Schedule'!J:J,MATCH(B435,'Calibration Schedule'!C:C,0)),"")="Sent for calibration",IFERROR(INDEX('Calibration Schedule'!J:J,MATCH(B435,'Calibration Schedule'!C:C,0)),"")="Scheduled for calibration"),IFERROR(INDEX('Calibration Schedule'!J:J,MATCH(B435,'Calibration Schedule'!C:C,0)),""),IF(M435&lt;TODAY(),"Expired",IF(M435&lt;=TODAY()+30,"Expiring Soon","Pass")))))</f>
        <v/>
      </c>
      <c r="O435" s="43"/>
      <c r="P435" s="42"/>
      <c r="Q435" s="42"/>
      <c r="R435" s="52"/>
    </row>
    <row r="436" spans="1:18">
      <c r="A436" s="38" t="str">
        <f t="shared" si="12"/>
        <v/>
      </c>
      <c r="B436" s="39"/>
      <c r="C436" s="38"/>
      <c r="D436" s="38"/>
      <c r="E436" s="39"/>
      <c r="F436" s="39"/>
      <c r="G436" s="39"/>
      <c r="H436" s="10"/>
      <c r="I436" s="38"/>
      <c r="J436" s="38"/>
      <c r="K436" s="38"/>
      <c r="L436" s="40"/>
      <c r="M436" s="40" t="str">
        <f t="shared" si="13"/>
        <v/>
      </c>
      <c r="N436" s="38" t="str">
        <f ca="1">IF(M436="","",IF(M436="","",IF(OR(IFERROR(INDEX('Calibration Schedule'!J:J,MATCH(B436,'Calibration Schedule'!C:C,0)),"")="Sent for calibration",IFERROR(INDEX('Calibration Schedule'!J:J,MATCH(B436,'Calibration Schedule'!C:C,0)),"")="Scheduled for calibration"),IFERROR(INDEX('Calibration Schedule'!J:J,MATCH(B436,'Calibration Schedule'!C:C,0)),""),IF(M436&lt;TODAY(),"Expired",IF(M436&lt;=TODAY()+30,"Expiring Soon","Pass")))))</f>
        <v/>
      </c>
      <c r="O436" s="10"/>
      <c r="P436" s="38"/>
      <c r="Q436" s="38"/>
      <c r="R436" s="52"/>
    </row>
    <row r="437" spans="1:18">
      <c r="A437" s="38" t="str">
        <f t="shared" si="12"/>
        <v/>
      </c>
      <c r="B437" s="41"/>
      <c r="C437" s="42"/>
      <c r="D437" s="42"/>
      <c r="E437" s="41"/>
      <c r="F437" s="41"/>
      <c r="G437" s="41"/>
      <c r="H437" s="43"/>
      <c r="I437" s="42"/>
      <c r="J437" s="42"/>
      <c r="K437" s="42"/>
      <c r="L437" s="44"/>
      <c r="M437" s="40" t="str">
        <f t="shared" si="13"/>
        <v/>
      </c>
      <c r="N437" s="38" t="str">
        <f ca="1">IF(M437="","",IF(M437="","",IF(OR(IFERROR(INDEX('Calibration Schedule'!J:J,MATCH(B437,'Calibration Schedule'!C:C,0)),"")="Sent for calibration",IFERROR(INDEX('Calibration Schedule'!J:J,MATCH(B437,'Calibration Schedule'!C:C,0)),"")="Scheduled for calibration"),IFERROR(INDEX('Calibration Schedule'!J:J,MATCH(B437,'Calibration Schedule'!C:C,0)),""),IF(M437&lt;TODAY(),"Expired",IF(M437&lt;=TODAY()+30,"Expiring Soon","Pass")))))</f>
        <v/>
      </c>
      <c r="O437" s="43"/>
      <c r="P437" s="42"/>
      <c r="Q437" s="42"/>
      <c r="R437" s="52"/>
    </row>
    <row r="438" spans="1:18">
      <c r="A438" s="38" t="str">
        <f t="shared" si="12"/>
        <v/>
      </c>
      <c r="B438" s="39"/>
      <c r="C438" s="38"/>
      <c r="D438" s="38"/>
      <c r="E438" s="39"/>
      <c r="F438" s="39"/>
      <c r="G438" s="39"/>
      <c r="H438" s="10"/>
      <c r="I438" s="38"/>
      <c r="J438" s="38"/>
      <c r="K438" s="38"/>
      <c r="L438" s="40"/>
      <c r="M438" s="40" t="str">
        <f t="shared" si="13"/>
        <v/>
      </c>
      <c r="N438" s="38" t="str">
        <f ca="1">IF(M438="","",IF(M438="","",IF(OR(IFERROR(INDEX('Calibration Schedule'!J:J,MATCH(B438,'Calibration Schedule'!C:C,0)),"")="Sent for calibration",IFERROR(INDEX('Calibration Schedule'!J:J,MATCH(B438,'Calibration Schedule'!C:C,0)),"")="Scheduled for calibration"),IFERROR(INDEX('Calibration Schedule'!J:J,MATCH(B438,'Calibration Schedule'!C:C,0)),""),IF(M438&lt;TODAY(),"Expired",IF(M438&lt;=TODAY()+30,"Expiring Soon","Pass")))))</f>
        <v/>
      </c>
      <c r="O438" s="10"/>
      <c r="P438" s="38"/>
      <c r="Q438" s="38"/>
      <c r="R438" s="52"/>
    </row>
    <row r="439" spans="1:18">
      <c r="A439" s="38" t="str">
        <f t="shared" si="12"/>
        <v/>
      </c>
      <c r="B439" s="41"/>
      <c r="C439" s="42"/>
      <c r="D439" s="42"/>
      <c r="E439" s="41"/>
      <c r="F439" s="41"/>
      <c r="G439" s="41"/>
      <c r="H439" s="43"/>
      <c r="I439" s="42"/>
      <c r="J439" s="42"/>
      <c r="K439" s="42"/>
      <c r="L439" s="44"/>
      <c r="M439" s="40" t="str">
        <f t="shared" si="13"/>
        <v/>
      </c>
      <c r="N439" s="38" t="str">
        <f ca="1">IF(M439="","",IF(M439="","",IF(OR(IFERROR(INDEX('Calibration Schedule'!J:J,MATCH(B439,'Calibration Schedule'!C:C,0)),"")="Sent for calibration",IFERROR(INDEX('Calibration Schedule'!J:J,MATCH(B439,'Calibration Schedule'!C:C,0)),"")="Scheduled for calibration"),IFERROR(INDEX('Calibration Schedule'!J:J,MATCH(B439,'Calibration Schedule'!C:C,0)),""),IF(M439&lt;TODAY(),"Expired",IF(M439&lt;=TODAY()+30,"Expiring Soon","Pass")))))</f>
        <v/>
      </c>
      <c r="O439" s="43"/>
      <c r="P439" s="42"/>
      <c r="Q439" s="42"/>
      <c r="R439" s="52"/>
    </row>
    <row r="440" spans="1:18">
      <c r="A440" s="38" t="str">
        <f t="shared" si="12"/>
        <v/>
      </c>
      <c r="B440" s="39"/>
      <c r="C440" s="38"/>
      <c r="D440" s="38"/>
      <c r="E440" s="39"/>
      <c r="F440" s="39"/>
      <c r="G440" s="39"/>
      <c r="H440" s="10"/>
      <c r="I440" s="38"/>
      <c r="J440" s="38"/>
      <c r="K440" s="38"/>
      <c r="L440" s="40"/>
      <c r="M440" s="40" t="str">
        <f t="shared" si="13"/>
        <v/>
      </c>
      <c r="N440" s="38" t="str">
        <f ca="1">IF(M440="","",IF(M440="","",IF(OR(IFERROR(INDEX('Calibration Schedule'!J:J,MATCH(B440,'Calibration Schedule'!C:C,0)),"")="Sent for calibration",IFERROR(INDEX('Calibration Schedule'!J:J,MATCH(B440,'Calibration Schedule'!C:C,0)),"")="Scheduled for calibration"),IFERROR(INDEX('Calibration Schedule'!J:J,MATCH(B440,'Calibration Schedule'!C:C,0)),""),IF(M440&lt;TODAY(),"Expired",IF(M440&lt;=TODAY()+30,"Expiring Soon","Pass")))))</f>
        <v/>
      </c>
      <c r="O440" s="10"/>
      <c r="P440" s="38"/>
      <c r="Q440" s="38"/>
      <c r="R440" s="52"/>
    </row>
    <row r="441" spans="1:18">
      <c r="A441" s="38" t="str">
        <f t="shared" si="12"/>
        <v/>
      </c>
      <c r="B441" s="41"/>
      <c r="C441" s="42"/>
      <c r="D441" s="42"/>
      <c r="E441" s="41"/>
      <c r="F441" s="41"/>
      <c r="G441" s="41"/>
      <c r="H441" s="43"/>
      <c r="I441" s="42"/>
      <c r="J441" s="42"/>
      <c r="K441" s="42"/>
      <c r="L441" s="44"/>
      <c r="M441" s="40" t="str">
        <f t="shared" si="13"/>
        <v/>
      </c>
      <c r="N441" s="38" t="str">
        <f ca="1">IF(M441="","",IF(M441="","",IF(OR(IFERROR(INDEX('Calibration Schedule'!J:J,MATCH(B441,'Calibration Schedule'!C:C,0)),"")="Sent for calibration",IFERROR(INDEX('Calibration Schedule'!J:J,MATCH(B441,'Calibration Schedule'!C:C,0)),"")="Scheduled for calibration"),IFERROR(INDEX('Calibration Schedule'!J:J,MATCH(B441,'Calibration Schedule'!C:C,0)),""),IF(M441&lt;TODAY(),"Expired",IF(M441&lt;=TODAY()+30,"Expiring Soon","Pass")))))</f>
        <v/>
      </c>
      <c r="O441" s="43"/>
      <c r="P441" s="42"/>
      <c r="Q441" s="42"/>
      <c r="R441" s="52"/>
    </row>
    <row r="442" spans="1:18">
      <c r="A442" s="38" t="str">
        <f t="shared" si="12"/>
        <v/>
      </c>
      <c r="B442" s="39"/>
      <c r="C442" s="38"/>
      <c r="D442" s="38"/>
      <c r="E442" s="39"/>
      <c r="F442" s="39"/>
      <c r="G442" s="39"/>
      <c r="H442" s="10"/>
      <c r="I442" s="38"/>
      <c r="J442" s="38"/>
      <c r="K442" s="38"/>
      <c r="L442" s="40"/>
      <c r="M442" s="40" t="str">
        <f t="shared" si="13"/>
        <v/>
      </c>
      <c r="N442" s="38" t="str">
        <f ca="1">IF(M442="","",IF(M442="","",IF(OR(IFERROR(INDEX('Calibration Schedule'!J:J,MATCH(B442,'Calibration Schedule'!C:C,0)),"")="Sent for calibration",IFERROR(INDEX('Calibration Schedule'!J:J,MATCH(B442,'Calibration Schedule'!C:C,0)),"")="Scheduled for calibration"),IFERROR(INDEX('Calibration Schedule'!J:J,MATCH(B442,'Calibration Schedule'!C:C,0)),""),IF(M442&lt;TODAY(),"Expired",IF(M442&lt;=TODAY()+30,"Expiring Soon","Pass")))))</f>
        <v/>
      </c>
      <c r="O442" s="10"/>
      <c r="P442" s="38"/>
      <c r="Q442" s="38"/>
      <c r="R442" s="52"/>
    </row>
    <row r="443" spans="1:18">
      <c r="A443" s="38" t="str">
        <f t="shared" si="12"/>
        <v/>
      </c>
      <c r="B443" s="41"/>
      <c r="C443" s="42"/>
      <c r="D443" s="42"/>
      <c r="E443" s="41"/>
      <c r="F443" s="41"/>
      <c r="G443" s="41"/>
      <c r="H443" s="43"/>
      <c r="I443" s="42"/>
      <c r="J443" s="42"/>
      <c r="K443" s="42"/>
      <c r="L443" s="44"/>
      <c r="M443" s="40" t="str">
        <f t="shared" si="13"/>
        <v/>
      </c>
      <c r="N443" s="38" t="str">
        <f ca="1">IF(M443="","",IF(M443="","",IF(OR(IFERROR(INDEX('Calibration Schedule'!J:J,MATCH(B443,'Calibration Schedule'!C:C,0)),"")="Sent for calibration",IFERROR(INDEX('Calibration Schedule'!J:J,MATCH(B443,'Calibration Schedule'!C:C,0)),"")="Scheduled for calibration"),IFERROR(INDEX('Calibration Schedule'!J:J,MATCH(B443,'Calibration Schedule'!C:C,0)),""),IF(M443&lt;TODAY(),"Expired",IF(M443&lt;=TODAY()+30,"Expiring Soon","Pass")))))</f>
        <v/>
      </c>
      <c r="O443" s="43"/>
      <c r="P443" s="42"/>
      <c r="Q443" s="42"/>
      <c r="R443" s="52"/>
    </row>
    <row r="444" spans="1:18">
      <c r="A444" s="38" t="str">
        <f t="shared" si="12"/>
        <v/>
      </c>
      <c r="B444" s="39"/>
      <c r="C444" s="38"/>
      <c r="D444" s="38"/>
      <c r="E444" s="39"/>
      <c r="F444" s="39"/>
      <c r="G444" s="39"/>
      <c r="H444" s="10"/>
      <c r="I444" s="38"/>
      <c r="J444" s="38"/>
      <c r="K444" s="38"/>
      <c r="L444" s="40"/>
      <c r="M444" s="40" t="str">
        <f t="shared" si="13"/>
        <v/>
      </c>
      <c r="N444" s="38" t="str">
        <f ca="1">IF(M444="","",IF(M444="","",IF(OR(IFERROR(INDEX('Calibration Schedule'!J:J,MATCH(B444,'Calibration Schedule'!C:C,0)),"")="Sent for calibration",IFERROR(INDEX('Calibration Schedule'!J:J,MATCH(B444,'Calibration Schedule'!C:C,0)),"")="Scheduled for calibration"),IFERROR(INDEX('Calibration Schedule'!J:J,MATCH(B444,'Calibration Schedule'!C:C,0)),""),IF(M444&lt;TODAY(),"Expired",IF(M444&lt;=TODAY()+30,"Expiring Soon","Pass")))))</f>
        <v/>
      </c>
      <c r="O444" s="10"/>
      <c r="P444" s="38"/>
      <c r="Q444" s="38"/>
      <c r="R444" s="52"/>
    </row>
    <row r="445" spans="1:18">
      <c r="A445" s="38" t="str">
        <f t="shared" si="12"/>
        <v/>
      </c>
      <c r="B445" s="41"/>
      <c r="C445" s="42"/>
      <c r="D445" s="42"/>
      <c r="E445" s="41"/>
      <c r="F445" s="41"/>
      <c r="G445" s="41"/>
      <c r="H445" s="43"/>
      <c r="I445" s="42"/>
      <c r="J445" s="42"/>
      <c r="K445" s="42"/>
      <c r="L445" s="44"/>
      <c r="M445" s="40" t="str">
        <f t="shared" si="13"/>
        <v/>
      </c>
      <c r="N445" s="38" t="str">
        <f ca="1">IF(M445="","",IF(M445="","",IF(OR(IFERROR(INDEX('Calibration Schedule'!J:J,MATCH(B445,'Calibration Schedule'!C:C,0)),"")="Sent for calibration",IFERROR(INDEX('Calibration Schedule'!J:J,MATCH(B445,'Calibration Schedule'!C:C,0)),"")="Scheduled for calibration"),IFERROR(INDEX('Calibration Schedule'!J:J,MATCH(B445,'Calibration Schedule'!C:C,0)),""),IF(M445&lt;TODAY(),"Expired",IF(M445&lt;=TODAY()+30,"Expiring Soon","Pass")))))</f>
        <v/>
      </c>
      <c r="O445" s="43"/>
      <c r="P445" s="42"/>
      <c r="Q445" s="42"/>
      <c r="R445" s="52"/>
    </row>
    <row r="446" spans="1:18">
      <c r="A446" s="38" t="str">
        <f t="shared" si="12"/>
        <v/>
      </c>
      <c r="B446" s="39"/>
      <c r="C446" s="38"/>
      <c r="D446" s="38"/>
      <c r="E446" s="39"/>
      <c r="F446" s="39"/>
      <c r="G446" s="39"/>
      <c r="H446" s="10"/>
      <c r="I446" s="38"/>
      <c r="J446" s="38"/>
      <c r="K446" s="38"/>
      <c r="L446" s="40"/>
      <c r="M446" s="40" t="str">
        <f t="shared" si="13"/>
        <v/>
      </c>
      <c r="N446" s="38" t="str">
        <f ca="1">IF(M446="","",IF(M446="","",IF(OR(IFERROR(INDEX('Calibration Schedule'!J:J,MATCH(B446,'Calibration Schedule'!C:C,0)),"")="Sent for calibration",IFERROR(INDEX('Calibration Schedule'!J:J,MATCH(B446,'Calibration Schedule'!C:C,0)),"")="Scheduled for calibration"),IFERROR(INDEX('Calibration Schedule'!J:J,MATCH(B446,'Calibration Schedule'!C:C,0)),""),IF(M446&lt;TODAY(),"Expired",IF(M446&lt;=TODAY()+30,"Expiring Soon","Pass")))))</f>
        <v/>
      </c>
      <c r="O446" s="10"/>
      <c r="P446" s="38"/>
      <c r="Q446" s="38"/>
      <c r="R446" s="52"/>
    </row>
    <row r="447" spans="1:18">
      <c r="A447" s="38" t="str">
        <f t="shared" si="12"/>
        <v/>
      </c>
      <c r="B447" s="41"/>
      <c r="C447" s="42"/>
      <c r="D447" s="42"/>
      <c r="E447" s="41"/>
      <c r="F447" s="41"/>
      <c r="G447" s="41"/>
      <c r="H447" s="43"/>
      <c r="I447" s="42"/>
      <c r="J447" s="42"/>
      <c r="K447" s="42"/>
      <c r="L447" s="44"/>
      <c r="M447" s="40" t="str">
        <f t="shared" si="13"/>
        <v/>
      </c>
      <c r="N447" s="38" t="str">
        <f ca="1">IF(M447="","",IF(M447="","",IF(OR(IFERROR(INDEX('Calibration Schedule'!J:J,MATCH(B447,'Calibration Schedule'!C:C,0)),"")="Sent for calibration",IFERROR(INDEX('Calibration Schedule'!J:J,MATCH(B447,'Calibration Schedule'!C:C,0)),"")="Scheduled for calibration"),IFERROR(INDEX('Calibration Schedule'!J:J,MATCH(B447,'Calibration Schedule'!C:C,0)),""),IF(M447&lt;TODAY(),"Expired",IF(M447&lt;=TODAY()+30,"Expiring Soon","Pass")))))</f>
        <v/>
      </c>
      <c r="O447" s="43"/>
      <c r="P447" s="42"/>
      <c r="Q447" s="42"/>
      <c r="R447" s="52"/>
    </row>
    <row r="448" spans="1:18">
      <c r="A448" s="38" t="str">
        <f t="shared" si="12"/>
        <v/>
      </c>
      <c r="B448" s="39"/>
      <c r="C448" s="38"/>
      <c r="D448" s="38"/>
      <c r="E448" s="39"/>
      <c r="F448" s="39"/>
      <c r="G448" s="39"/>
      <c r="H448" s="10"/>
      <c r="I448" s="38"/>
      <c r="J448" s="38"/>
      <c r="K448" s="38"/>
      <c r="L448" s="40"/>
      <c r="M448" s="40" t="str">
        <f t="shared" si="13"/>
        <v/>
      </c>
      <c r="N448" s="38" t="str">
        <f ca="1">IF(M448="","",IF(M448="","",IF(OR(IFERROR(INDEX('Calibration Schedule'!J:J,MATCH(B448,'Calibration Schedule'!C:C,0)),"")="Sent for calibration",IFERROR(INDEX('Calibration Schedule'!J:J,MATCH(B448,'Calibration Schedule'!C:C,0)),"")="Scheduled for calibration"),IFERROR(INDEX('Calibration Schedule'!J:J,MATCH(B448,'Calibration Schedule'!C:C,0)),""),IF(M448&lt;TODAY(),"Expired",IF(M448&lt;=TODAY()+30,"Expiring Soon","Pass")))))</f>
        <v/>
      </c>
      <c r="O448" s="10"/>
      <c r="P448" s="38"/>
      <c r="Q448" s="38"/>
      <c r="R448" s="52"/>
    </row>
    <row r="449" spans="1:18">
      <c r="A449" s="38" t="str">
        <f t="shared" si="12"/>
        <v/>
      </c>
      <c r="B449" s="41"/>
      <c r="C449" s="42"/>
      <c r="D449" s="42"/>
      <c r="E449" s="41"/>
      <c r="F449" s="41"/>
      <c r="G449" s="41"/>
      <c r="H449" s="43"/>
      <c r="I449" s="42"/>
      <c r="J449" s="42"/>
      <c r="K449" s="42"/>
      <c r="L449" s="44"/>
      <c r="M449" s="40" t="str">
        <f t="shared" si="13"/>
        <v/>
      </c>
      <c r="N449" s="38" t="str">
        <f ca="1">IF(M449="","",IF(M449="","",IF(OR(IFERROR(INDEX('Calibration Schedule'!J:J,MATCH(B449,'Calibration Schedule'!C:C,0)),"")="Sent for calibration",IFERROR(INDEX('Calibration Schedule'!J:J,MATCH(B449,'Calibration Schedule'!C:C,0)),"")="Scheduled for calibration"),IFERROR(INDEX('Calibration Schedule'!J:J,MATCH(B449,'Calibration Schedule'!C:C,0)),""),IF(M449&lt;TODAY(),"Expired",IF(M449&lt;=TODAY()+30,"Expiring Soon","Pass")))))</f>
        <v/>
      </c>
      <c r="O449" s="43"/>
      <c r="P449" s="42"/>
      <c r="Q449" s="42"/>
      <c r="R449" s="52"/>
    </row>
    <row r="450" spans="1:18">
      <c r="A450" s="38" t="str">
        <f t="shared" si="12"/>
        <v/>
      </c>
      <c r="B450" s="39"/>
      <c r="C450" s="38"/>
      <c r="D450" s="38"/>
      <c r="E450" s="39"/>
      <c r="F450" s="39"/>
      <c r="G450" s="39"/>
      <c r="H450" s="10"/>
      <c r="I450" s="38"/>
      <c r="J450" s="38"/>
      <c r="K450" s="38"/>
      <c r="L450" s="40"/>
      <c r="M450" s="40" t="str">
        <f t="shared" si="13"/>
        <v/>
      </c>
      <c r="N450" s="38" t="str">
        <f ca="1">IF(M450="","",IF(M450="","",IF(OR(IFERROR(INDEX('Calibration Schedule'!J:J,MATCH(B450,'Calibration Schedule'!C:C,0)),"")="Sent for calibration",IFERROR(INDEX('Calibration Schedule'!J:J,MATCH(B450,'Calibration Schedule'!C:C,0)),"")="Scheduled for calibration"),IFERROR(INDEX('Calibration Schedule'!J:J,MATCH(B450,'Calibration Schedule'!C:C,0)),""),IF(M450&lt;TODAY(),"Expired",IF(M450&lt;=TODAY()+30,"Expiring Soon","Pass")))))</f>
        <v/>
      </c>
      <c r="O450" s="10"/>
      <c r="P450" s="38"/>
      <c r="Q450" s="38"/>
      <c r="R450" s="52"/>
    </row>
    <row r="451" spans="1:18">
      <c r="A451" s="38" t="str">
        <f t="shared" si="12"/>
        <v/>
      </c>
      <c r="B451" s="41"/>
      <c r="C451" s="42"/>
      <c r="D451" s="42"/>
      <c r="E451" s="41"/>
      <c r="F451" s="41"/>
      <c r="G451" s="41"/>
      <c r="H451" s="43"/>
      <c r="I451" s="42"/>
      <c r="J451" s="42"/>
      <c r="K451" s="42"/>
      <c r="L451" s="44"/>
      <c r="M451" s="40" t="str">
        <f t="shared" si="13"/>
        <v/>
      </c>
      <c r="N451" s="38" t="str">
        <f ca="1">IF(M451="","",IF(M451="","",IF(OR(IFERROR(INDEX('Calibration Schedule'!J:J,MATCH(B451,'Calibration Schedule'!C:C,0)),"")="Sent for calibration",IFERROR(INDEX('Calibration Schedule'!J:J,MATCH(B451,'Calibration Schedule'!C:C,0)),"")="Scheduled for calibration"),IFERROR(INDEX('Calibration Schedule'!J:J,MATCH(B451,'Calibration Schedule'!C:C,0)),""),IF(M451&lt;TODAY(),"Expired",IF(M451&lt;=TODAY()+30,"Expiring Soon","Pass")))))</f>
        <v/>
      </c>
      <c r="O451" s="43"/>
      <c r="P451" s="42"/>
      <c r="Q451" s="42"/>
      <c r="R451" s="52"/>
    </row>
    <row r="452" spans="1:18">
      <c r="A452" s="38" t="str">
        <f t="shared" ref="A452:A503" si="14">IF(B452="","",ROW(B452)-3)</f>
        <v/>
      </c>
      <c r="B452" s="39"/>
      <c r="C452" s="38"/>
      <c r="D452" s="38"/>
      <c r="E452" s="39"/>
      <c r="F452" s="39"/>
      <c r="G452" s="39"/>
      <c r="H452" s="10"/>
      <c r="I452" s="38"/>
      <c r="J452" s="38"/>
      <c r="K452" s="38"/>
      <c r="L452" s="40"/>
      <c r="M452" s="40" t="str">
        <f t="shared" si="13"/>
        <v/>
      </c>
      <c r="N452" s="38" t="str">
        <f ca="1">IF(M452="","",IF(M452="","",IF(OR(IFERROR(INDEX('Calibration Schedule'!J:J,MATCH(B452,'Calibration Schedule'!C:C,0)),"")="Sent for calibration",IFERROR(INDEX('Calibration Schedule'!J:J,MATCH(B452,'Calibration Schedule'!C:C,0)),"")="Scheduled for calibration"),IFERROR(INDEX('Calibration Schedule'!J:J,MATCH(B452,'Calibration Schedule'!C:C,0)),""),IF(M452&lt;TODAY(),"Expired",IF(M452&lt;=TODAY()+30,"Expiring Soon","Pass")))))</f>
        <v/>
      </c>
      <c r="O452" s="10"/>
      <c r="P452" s="38"/>
      <c r="Q452" s="38"/>
      <c r="R452" s="52"/>
    </row>
    <row r="453" spans="1:18">
      <c r="A453" s="38" t="str">
        <f t="shared" si="14"/>
        <v/>
      </c>
      <c r="B453" s="41"/>
      <c r="C453" s="42"/>
      <c r="D453" s="42"/>
      <c r="E453" s="41"/>
      <c r="F453" s="41"/>
      <c r="G453" s="41"/>
      <c r="H453" s="43"/>
      <c r="I453" s="42"/>
      <c r="J453" s="42"/>
      <c r="K453" s="42"/>
      <c r="L453" s="44"/>
      <c r="M453" s="40" t="str">
        <f t="shared" ref="M453:M503" si="15">IF(B453="","",IF(K453="Not Eligible","",IFERROR(EDATE(L453,K453),"")))</f>
        <v/>
      </c>
      <c r="N453" s="38" t="str">
        <f ca="1">IF(M453="","",IF(M453="","",IF(OR(IFERROR(INDEX('Calibration Schedule'!J:J,MATCH(B453,'Calibration Schedule'!C:C,0)),"")="Sent for calibration",IFERROR(INDEX('Calibration Schedule'!J:J,MATCH(B453,'Calibration Schedule'!C:C,0)),"")="Scheduled for calibration"),IFERROR(INDEX('Calibration Schedule'!J:J,MATCH(B453,'Calibration Schedule'!C:C,0)),""),IF(M453&lt;TODAY(),"Expired",IF(M453&lt;=TODAY()+30,"Expiring Soon","Pass")))))</f>
        <v/>
      </c>
      <c r="O453" s="43"/>
      <c r="P453" s="42"/>
      <c r="Q453" s="42"/>
      <c r="R453" s="52"/>
    </row>
    <row r="454" spans="1:18">
      <c r="A454" s="38" t="str">
        <f t="shared" si="14"/>
        <v/>
      </c>
      <c r="B454" s="39"/>
      <c r="C454" s="38"/>
      <c r="D454" s="38"/>
      <c r="E454" s="39"/>
      <c r="F454" s="39"/>
      <c r="G454" s="39"/>
      <c r="H454" s="10"/>
      <c r="I454" s="38"/>
      <c r="J454" s="38"/>
      <c r="K454" s="38"/>
      <c r="L454" s="40"/>
      <c r="M454" s="40" t="str">
        <f t="shared" si="15"/>
        <v/>
      </c>
      <c r="N454" s="38" t="str">
        <f ca="1">IF(M454="","",IF(M454="","",IF(OR(IFERROR(INDEX('Calibration Schedule'!J:J,MATCH(B454,'Calibration Schedule'!C:C,0)),"")="Sent for calibration",IFERROR(INDEX('Calibration Schedule'!J:J,MATCH(B454,'Calibration Schedule'!C:C,0)),"")="Scheduled for calibration"),IFERROR(INDEX('Calibration Schedule'!J:J,MATCH(B454,'Calibration Schedule'!C:C,0)),""),IF(M454&lt;TODAY(),"Expired",IF(M454&lt;=TODAY()+30,"Expiring Soon","Pass")))))</f>
        <v/>
      </c>
      <c r="O454" s="10"/>
      <c r="P454" s="38"/>
      <c r="Q454" s="38"/>
      <c r="R454" s="52"/>
    </row>
    <row r="455" spans="1:18">
      <c r="A455" s="38" t="str">
        <f t="shared" si="14"/>
        <v/>
      </c>
      <c r="B455" s="41"/>
      <c r="C455" s="42"/>
      <c r="D455" s="42"/>
      <c r="E455" s="41"/>
      <c r="F455" s="41"/>
      <c r="G455" s="41"/>
      <c r="H455" s="43"/>
      <c r="I455" s="42"/>
      <c r="J455" s="42"/>
      <c r="K455" s="42"/>
      <c r="L455" s="44"/>
      <c r="M455" s="40" t="str">
        <f t="shared" si="15"/>
        <v/>
      </c>
      <c r="N455" s="38" t="str">
        <f ca="1">IF(M455="","",IF(M455="","",IF(OR(IFERROR(INDEX('Calibration Schedule'!J:J,MATCH(B455,'Calibration Schedule'!C:C,0)),"")="Sent for calibration",IFERROR(INDEX('Calibration Schedule'!J:J,MATCH(B455,'Calibration Schedule'!C:C,0)),"")="Scheduled for calibration"),IFERROR(INDEX('Calibration Schedule'!J:J,MATCH(B455,'Calibration Schedule'!C:C,0)),""),IF(M455&lt;TODAY(),"Expired",IF(M455&lt;=TODAY()+30,"Expiring Soon","Pass")))))</f>
        <v/>
      </c>
      <c r="O455" s="43"/>
      <c r="P455" s="42"/>
      <c r="Q455" s="42"/>
      <c r="R455" s="52"/>
    </row>
    <row r="456" spans="1:18">
      <c r="A456" s="38" t="str">
        <f t="shared" si="14"/>
        <v/>
      </c>
      <c r="B456" s="39"/>
      <c r="C456" s="38"/>
      <c r="D456" s="38"/>
      <c r="E456" s="39"/>
      <c r="F456" s="39"/>
      <c r="G456" s="39"/>
      <c r="H456" s="10"/>
      <c r="I456" s="38"/>
      <c r="J456" s="38"/>
      <c r="K456" s="38"/>
      <c r="L456" s="40"/>
      <c r="M456" s="40" t="str">
        <f t="shared" si="15"/>
        <v/>
      </c>
      <c r="N456" s="38" t="str">
        <f ca="1">IF(M456="","",IF(M456="","",IF(OR(IFERROR(INDEX('Calibration Schedule'!J:J,MATCH(B456,'Calibration Schedule'!C:C,0)),"")="Sent for calibration",IFERROR(INDEX('Calibration Schedule'!J:J,MATCH(B456,'Calibration Schedule'!C:C,0)),"")="Scheduled for calibration"),IFERROR(INDEX('Calibration Schedule'!J:J,MATCH(B456,'Calibration Schedule'!C:C,0)),""),IF(M456&lt;TODAY(),"Expired",IF(M456&lt;=TODAY()+30,"Expiring Soon","Pass")))))</f>
        <v/>
      </c>
      <c r="O456" s="10"/>
      <c r="P456" s="38"/>
      <c r="Q456" s="38"/>
      <c r="R456" s="52"/>
    </row>
    <row r="457" spans="1:18">
      <c r="A457" s="38" t="str">
        <f t="shared" si="14"/>
        <v/>
      </c>
      <c r="B457" s="41"/>
      <c r="C457" s="42"/>
      <c r="D457" s="42"/>
      <c r="E457" s="41"/>
      <c r="F457" s="41"/>
      <c r="G457" s="41"/>
      <c r="H457" s="43"/>
      <c r="I457" s="42"/>
      <c r="J457" s="42"/>
      <c r="K457" s="42"/>
      <c r="L457" s="44"/>
      <c r="M457" s="40" t="str">
        <f t="shared" si="15"/>
        <v/>
      </c>
      <c r="N457" s="38" t="str">
        <f ca="1">IF(M457="","",IF(M457="","",IF(OR(IFERROR(INDEX('Calibration Schedule'!J:J,MATCH(B457,'Calibration Schedule'!C:C,0)),"")="Sent for calibration",IFERROR(INDEX('Calibration Schedule'!J:J,MATCH(B457,'Calibration Schedule'!C:C,0)),"")="Scheduled for calibration"),IFERROR(INDEX('Calibration Schedule'!J:J,MATCH(B457,'Calibration Schedule'!C:C,0)),""),IF(M457&lt;TODAY(),"Expired",IF(M457&lt;=TODAY()+30,"Expiring Soon","Pass")))))</f>
        <v/>
      </c>
      <c r="O457" s="43"/>
      <c r="P457" s="42"/>
      <c r="Q457" s="42"/>
      <c r="R457" s="52"/>
    </row>
    <row r="458" spans="1:18">
      <c r="A458" s="38" t="str">
        <f t="shared" si="14"/>
        <v/>
      </c>
      <c r="B458" s="39"/>
      <c r="C458" s="38"/>
      <c r="D458" s="38"/>
      <c r="E458" s="39"/>
      <c r="F458" s="39"/>
      <c r="G458" s="39"/>
      <c r="H458" s="10"/>
      <c r="I458" s="38"/>
      <c r="J458" s="38"/>
      <c r="K458" s="38"/>
      <c r="L458" s="40"/>
      <c r="M458" s="40" t="str">
        <f t="shared" si="15"/>
        <v/>
      </c>
      <c r="N458" s="38" t="str">
        <f ca="1">IF(M458="","",IF(M458="","",IF(OR(IFERROR(INDEX('Calibration Schedule'!J:J,MATCH(B458,'Calibration Schedule'!C:C,0)),"")="Sent for calibration",IFERROR(INDEX('Calibration Schedule'!J:J,MATCH(B458,'Calibration Schedule'!C:C,0)),"")="Scheduled for calibration"),IFERROR(INDEX('Calibration Schedule'!J:J,MATCH(B458,'Calibration Schedule'!C:C,0)),""),IF(M458&lt;TODAY(),"Expired",IF(M458&lt;=TODAY()+30,"Expiring Soon","Pass")))))</f>
        <v/>
      </c>
      <c r="O458" s="10"/>
      <c r="P458" s="38"/>
      <c r="Q458" s="38"/>
      <c r="R458" s="52"/>
    </row>
    <row r="459" spans="1:18">
      <c r="A459" s="38" t="str">
        <f t="shared" si="14"/>
        <v/>
      </c>
      <c r="B459" s="41"/>
      <c r="C459" s="42"/>
      <c r="D459" s="42"/>
      <c r="E459" s="41"/>
      <c r="F459" s="41"/>
      <c r="G459" s="41"/>
      <c r="H459" s="43"/>
      <c r="I459" s="42"/>
      <c r="J459" s="42"/>
      <c r="K459" s="42"/>
      <c r="L459" s="44"/>
      <c r="M459" s="40" t="str">
        <f t="shared" si="15"/>
        <v/>
      </c>
      <c r="N459" s="38" t="str">
        <f ca="1">IF(M459="","",IF(M459="","",IF(OR(IFERROR(INDEX('Calibration Schedule'!J:J,MATCH(B459,'Calibration Schedule'!C:C,0)),"")="Sent for calibration",IFERROR(INDEX('Calibration Schedule'!J:J,MATCH(B459,'Calibration Schedule'!C:C,0)),"")="Scheduled for calibration"),IFERROR(INDEX('Calibration Schedule'!J:J,MATCH(B459,'Calibration Schedule'!C:C,0)),""),IF(M459&lt;TODAY(),"Expired",IF(M459&lt;=TODAY()+30,"Expiring Soon","Pass")))))</f>
        <v/>
      </c>
      <c r="O459" s="43"/>
      <c r="P459" s="42"/>
      <c r="Q459" s="42"/>
      <c r="R459" s="52"/>
    </row>
    <row r="460" spans="1:18">
      <c r="A460" s="38" t="str">
        <f t="shared" si="14"/>
        <v/>
      </c>
      <c r="B460" s="39"/>
      <c r="C460" s="38"/>
      <c r="D460" s="38"/>
      <c r="E460" s="39"/>
      <c r="F460" s="39"/>
      <c r="G460" s="39"/>
      <c r="H460" s="10"/>
      <c r="I460" s="38"/>
      <c r="J460" s="38"/>
      <c r="K460" s="38"/>
      <c r="L460" s="40"/>
      <c r="M460" s="40" t="str">
        <f t="shared" si="15"/>
        <v/>
      </c>
      <c r="N460" s="38" t="str">
        <f ca="1">IF(M460="","",IF(M460="","",IF(OR(IFERROR(INDEX('Calibration Schedule'!J:J,MATCH(B460,'Calibration Schedule'!C:C,0)),"")="Sent for calibration",IFERROR(INDEX('Calibration Schedule'!J:J,MATCH(B460,'Calibration Schedule'!C:C,0)),"")="Scheduled for calibration"),IFERROR(INDEX('Calibration Schedule'!J:J,MATCH(B460,'Calibration Schedule'!C:C,0)),""),IF(M460&lt;TODAY(),"Expired",IF(M460&lt;=TODAY()+30,"Expiring Soon","Pass")))))</f>
        <v/>
      </c>
      <c r="O460" s="10"/>
      <c r="P460" s="38"/>
      <c r="Q460" s="38"/>
      <c r="R460" s="52"/>
    </row>
    <row r="461" spans="1:18">
      <c r="A461" s="38" t="str">
        <f t="shared" si="14"/>
        <v/>
      </c>
      <c r="B461" s="41"/>
      <c r="C461" s="42"/>
      <c r="D461" s="42"/>
      <c r="E461" s="41"/>
      <c r="F461" s="41"/>
      <c r="G461" s="41"/>
      <c r="H461" s="43"/>
      <c r="I461" s="42"/>
      <c r="J461" s="42"/>
      <c r="K461" s="42"/>
      <c r="L461" s="44"/>
      <c r="M461" s="40" t="str">
        <f t="shared" si="15"/>
        <v/>
      </c>
      <c r="N461" s="38" t="str">
        <f ca="1">IF(M461="","",IF(M461="","",IF(OR(IFERROR(INDEX('Calibration Schedule'!J:J,MATCH(B461,'Calibration Schedule'!C:C,0)),"")="Sent for calibration",IFERROR(INDEX('Calibration Schedule'!J:J,MATCH(B461,'Calibration Schedule'!C:C,0)),"")="Scheduled for calibration"),IFERROR(INDEX('Calibration Schedule'!J:J,MATCH(B461,'Calibration Schedule'!C:C,0)),""),IF(M461&lt;TODAY(),"Expired",IF(M461&lt;=TODAY()+30,"Expiring Soon","Pass")))))</f>
        <v/>
      </c>
      <c r="O461" s="43"/>
      <c r="P461" s="42"/>
      <c r="Q461" s="42"/>
      <c r="R461" s="52"/>
    </row>
    <row r="462" spans="1:18">
      <c r="A462" s="38" t="str">
        <f t="shared" si="14"/>
        <v/>
      </c>
      <c r="B462" s="39"/>
      <c r="C462" s="38"/>
      <c r="D462" s="38"/>
      <c r="E462" s="39"/>
      <c r="F462" s="39"/>
      <c r="G462" s="39"/>
      <c r="H462" s="10"/>
      <c r="I462" s="38"/>
      <c r="J462" s="38"/>
      <c r="K462" s="38"/>
      <c r="L462" s="40"/>
      <c r="M462" s="40" t="str">
        <f t="shared" si="15"/>
        <v/>
      </c>
      <c r="N462" s="38" t="str">
        <f ca="1">IF(M462="","",IF(M462="","",IF(OR(IFERROR(INDEX('Calibration Schedule'!J:J,MATCH(B462,'Calibration Schedule'!C:C,0)),"")="Sent for calibration",IFERROR(INDEX('Calibration Schedule'!J:J,MATCH(B462,'Calibration Schedule'!C:C,0)),"")="Scheduled for calibration"),IFERROR(INDEX('Calibration Schedule'!J:J,MATCH(B462,'Calibration Schedule'!C:C,0)),""),IF(M462&lt;TODAY(),"Expired",IF(M462&lt;=TODAY()+30,"Expiring Soon","Pass")))))</f>
        <v/>
      </c>
      <c r="O462" s="10"/>
      <c r="P462" s="38"/>
      <c r="Q462" s="38"/>
      <c r="R462" s="52"/>
    </row>
    <row r="463" spans="1:18">
      <c r="A463" s="38" t="str">
        <f t="shared" si="14"/>
        <v/>
      </c>
      <c r="B463" s="41"/>
      <c r="C463" s="42"/>
      <c r="D463" s="42"/>
      <c r="E463" s="41"/>
      <c r="F463" s="41"/>
      <c r="G463" s="41"/>
      <c r="H463" s="43"/>
      <c r="I463" s="42"/>
      <c r="J463" s="42"/>
      <c r="K463" s="42"/>
      <c r="L463" s="44"/>
      <c r="M463" s="40" t="str">
        <f t="shared" si="15"/>
        <v/>
      </c>
      <c r="N463" s="38" t="str">
        <f ca="1">IF(M463="","",IF(M463="","",IF(OR(IFERROR(INDEX('Calibration Schedule'!J:J,MATCH(B463,'Calibration Schedule'!C:C,0)),"")="Sent for calibration",IFERROR(INDEX('Calibration Schedule'!J:J,MATCH(B463,'Calibration Schedule'!C:C,0)),"")="Scheduled for calibration"),IFERROR(INDEX('Calibration Schedule'!J:J,MATCH(B463,'Calibration Schedule'!C:C,0)),""),IF(M463&lt;TODAY(),"Expired",IF(M463&lt;=TODAY()+30,"Expiring Soon","Pass")))))</f>
        <v/>
      </c>
      <c r="O463" s="43"/>
      <c r="P463" s="42"/>
      <c r="Q463" s="42"/>
      <c r="R463" s="52"/>
    </row>
    <row r="464" spans="1:18">
      <c r="A464" s="38" t="str">
        <f t="shared" si="14"/>
        <v/>
      </c>
      <c r="B464" s="39"/>
      <c r="C464" s="38"/>
      <c r="D464" s="38"/>
      <c r="E464" s="39"/>
      <c r="F464" s="39"/>
      <c r="G464" s="39"/>
      <c r="H464" s="10"/>
      <c r="I464" s="38"/>
      <c r="J464" s="38"/>
      <c r="K464" s="38"/>
      <c r="L464" s="40"/>
      <c r="M464" s="40" t="str">
        <f t="shared" si="15"/>
        <v/>
      </c>
      <c r="N464" s="38" t="str">
        <f ca="1">IF(M464="","",IF(M464="","",IF(OR(IFERROR(INDEX('Calibration Schedule'!J:J,MATCH(B464,'Calibration Schedule'!C:C,0)),"")="Sent for calibration",IFERROR(INDEX('Calibration Schedule'!J:J,MATCH(B464,'Calibration Schedule'!C:C,0)),"")="Scheduled for calibration"),IFERROR(INDEX('Calibration Schedule'!J:J,MATCH(B464,'Calibration Schedule'!C:C,0)),""),IF(M464&lt;TODAY(),"Expired",IF(M464&lt;=TODAY()+30,"Expiring Soon","Pass")))))</f>
        <v/>
      </c>
      <c r="O464" s="10"/>
      <c r="P464" s="38"/>
      <c r="Q464" s="38"/>
      <c r="R464" s="52"/>
    </row>
    <row r="465" spans="1:18">
      <c r="A465" s="38" t="str">
        <f t="shared" si="14"/>
        <v/>
      </c>
      <c r="B465" s="41"/>
      <c r="C465" s="42"/>
      <c r="D465" s="42"/>
      <c r="E465" s="41"/>
      <c r="F465" s="41"/>
      <c r="G465" s="41"/>
      <c r="H465" s="43"/>
      <c r="I465" s="42"/>
      <c r="J465" s="42"/>
      <c r="K465" s="42"/>
      <c r="L465" s="44"/>
      <c r="M465" s="40" t="str">
        <f t="shared" si="15"/>
        <v/>
      </c>
      <c r="N465" s="38" t="str">
        <f ca="1">IF(M465="","",IF(M465="","",IF(OR(IFERROR(INDEX('Calibration Schedule'!J:J,MATCH(B465,'Calibration Schedule'!C:C,0)),"")="Sent for calibration",IFERROR(INDEX('Calibration Schedule'!J:J,MATCH(B465,'Calibration Schedule'!C:C,0)),"")="Scheduled for calibration"),IFERROR(INDEX('Calibration Schedule'!J:J,MATCH(B465,'Calibration Schedule'!C:C,0)),""),IF(M465&lt;TODAY(),"Expired",IF(M465&lt;=TODAY()+30,"Expiring Soon","Pass")))))</f>
        <v/>
      </c>
      <c r="O465" s="43"/>
      <c r="P465" s="42"/>
      <c r="Q465" s="42"/>
      <c r="R465" s="52"/>
    </row>
    <row r="466" spans="1:18">
      <c r="A466" s="38" t="str">
        <f t="shared" si="14"/>
        <v/>
      </c>
      <c r="B466" s="39"/>
      <c r="C466" s="38"/>
      <c r="D466" s="38"/>
      <c r="E466" s="39"/>
      <c r="F466" s="39"/>
      <c r="G466" s="39"/>
      <c r="H466" s="10"/>
      <c r="I466" s="38"/>
      <c r="J466" s="38"/>
      <c r="K466" s="38"/>
      <c r="L466" s="40"/>
      <c r="M466" s="40" t="str">
        <f t="shared" si="15"/>
        <v/>
      </c>
      <c r="N466" s="38" t="str">
        <f ca="1">IF(M466="","",IF(M466="","",IF(OR(IFERROR(INDEX('Calibration Schedule'!J:J,MATCH(B466,'Calibration Schedule'!C:C,0)),"")="Sent for calibration",IFERROR(INDEX('Calibration Schedule'!J:J,MATCH(B466,'Calibration Schedule'!C:C,0)),"")="Scheduled for calibration"),IFERROR(INDEX('Calibration Schedule'!J:J,MATCH(B466,'Calibration Schedule'!C:C,0)),""),IF(M466&lt;TODAY(),"Expired",IF(M466&lt;=TODAY()+30,"Expiring Soon","Pass")))))</f>
        <v/>
      </c>
      <c r="O466" s="10"/>
      <c r="P466" s="38"/>
      <c r="Q466" s="38"/>
      <c r="R466" s="52"/>
    </row>
    <row r="467" spans="1:18">
      <c r="A467" s="38" t="str">
        <f t="shared" si="14"/>
        <v/>
      </c>
      <c r="B467" s="41"/>
      <c r="C467" s="42"/>
      <c r="D467" s="42"/>
      <c r="E467" s="41"/>
      <c r="F467" s="41"/>
      <c r="G467" s="41"/>
      <c r="H467" s="43"/>
      <c r="I467" s="42"/>
      <c r="J467" s="42"/>
      <c r="K467" s="42"/>
      <c r="L467" s="44"/>
      <c r="M467" s="40" t="str">
        <f t="shared" si="15"/>
        <v/>
      </c>
      <c r="N467" s="38" t="str">
        <f ca="1">IF(M467="","",IF(M467="","",IF(OR(IFERROR(INDEX('Calibration Schedule'!J:J,MATCH(B467,'Calibration Schedule'!C:C,0)),"")="Sent for calibration",IFERROR(INDEX('Calibration Schedule'!J:J,MATCH(B467,'Calibration Schedule'!C:C,0)),"")="Scheduled for calibration"),IFERROR(INDEX('Calibration Schedule'!J:J,MATCH(B467,'Calibration Schedule'!C:C,0)),""),IF(M467&lt;TODAY(),"Expired",IF(M467&lt;=TODAY()+30,"Expiring Soon","Pass")))))</f>
        <v/>
      </c>
      <c r="O467" s="43"/>
      <c r="P467" s="42"/>
      <c r="Q467" s="42"/>
      <c r="R467" s="52"/>
    </row>
    <row r="468" spans="1:18">
      <c r="A468" s="38" t="str">
        <f t="shared" si="14"/>
        <v/>
      </c>
      <c r="B468" s="39"/>
      <c r="C468" s="38"/>
      <c r="D468" s="38"/>
      <c r="E468" s="39"/>
      <c r="F468" s="39"/>
      <c r="G468" s="39"/>
      <c r="H468" s="10"/>
      <c r="I468" s="38"/>
      <c r="J468" s="38"/>
      <c r="K468" s="38"/>
      <c r="L468" s="40"/>
      <c r="M468" s="40" t="str">
        <f t="shared" si="15"/>
        <v/>
      </c>
      <c r="N468" s="38" t="str">
        <f ca="1">IF(M468="","",IF(M468="","",IF(OR(IFERROR(INDEX('Calibration Schedule'!J:J,MATCH(B468,'Calibration Schedule'!C:C,0)),"")="Sent for calibration",IFERROR(INDEX('Calibration Schedule'!J:J,MATCH(B468,'Calibration Schedule'!C:C,0)),"")="Scheduled for calibration"),IFERROR(INDEX('Calibration Schedule'!J:J,MATCH(B468,'Calibration Schedule'!C:C,0)),""),IF(M468&lt;TODAY(),"Expired",IF(M468&lt;=TODAY()+30,"Expiring Soon","Pass")))))</f>
        <v/>
      </c>
      <c r="O468" s="10"/>
      <c r="P468" s="38"/>
      <c r="Q468" s="38"/>
      <c r="R468" s="52"/>
    </row>
    <row r="469" spans="1:18">
      <c r="A469" s="38" t="str">
        <f t="shared" si="14"/>
        <v/>
      </c>
      <c r="B469" s="41"/>
      <c r="C469" s="42"/>
      <c r="D469" s="42"/>
      <c r="E469" s="41"/>
      <c r="F469" s="41"/>
      <c r="G469" s="41"/>
      <c r="H469" s="43"/>
      <c r="I469" s="42"/>
      <c r="J469" s="42"/>
      <c r="K469" s="42"/>
      <c r="L469" s="44"/>
      <c r="M469" s="40" t="str">
        <f t="shared" si="15"/>
        <v/>
      </c>
      <c r="N469" s="38" t="str">
        <f ca="1">IF(M469="","",IF(M469="","",IF(OR(IFERROR(INDEX('Calibration Schedule'!J:J,MATCH(B469,'Calibration Schedule'!C:C,0)),"")="Sent for calibration",IFERROR(INDEX('Calibration Schedule'!J:J,MATCH(B469,'Calibration Schedule'!C:C,0)),"")="Scheduled for calibration"),IFERROR(INDEX('Calibration Schedule'!J:J,MATCH(B469,'Calibration Schedule'!C:C,0)),""),IF(M469&lt;TODAY(),"Expired",IF(M469&lt;=TODAY()+30,"Expiring Soon","Pass")))))</f>
        <v/>
      </c>
      <c r="O469" s="43"/>
      <c r="P469" s="42"/>
      <c r="Q469" s="42"/>
      <c r="R469" s="52"/>
    </row>
    <row r="470" spans="1:18">
      <c r="A470" s="38" t="str">
        <f t="shared" si="14"/>
        <v/>
      </c>
      <c r="B470" s="39"/>
      <c r="C470" s="38"/>
      <c r="D470" s="38"/>
      <c r="E470" s="39"/>
      <c r="F470" s="39"/>
      <c r="G470" s="39"/>
      <c r="H470" s="10"/>
      <c r="I470" s="38"/>
      <c r="J470" s="38"/>
      <c r="K470" s="38"/>
      <c r="L470" s="40"/>
      <c r="M470" s="40" t="str">
        <f t="shared" si="15"/>
        <v/>
      </c>
      <c r="N470" s="38" t="str">
        <f ca="1">IF(M470="","",IF(M470="","",IF(OR(IFERROR(INDEX('Calibration Schedule'!J:J,MATCH(B470,'Calibration Schedule'!C:C,0)),"")="Sent for calibration",IFERROR(INDEX('Calibration Schedule'!J:J,MATCH(B470,'Calibration Schedule'!C:C,0)),"")="Scheduled for calibration"),IFERROR(INDEX('Calibration Schedule'!J:J,MATCH(B470,'Calibration Schedule'!C:C,0)),""),IF(M470&lt;TODAY(),"Expired",IF(M470&lt;=TODAY()+30,"Expiring Soon","Pass")))))</f>
        <v/>
      </c>
      <c r="O470" s="10"/>
      <c r="P470" s="38"/>
      <c r="Q470" s="38"/>
      <c r="R470" s="52"/>
    </row>
    <row r="471" spans="1:18">
      <c r="A471" s="38" t="str">
        <f t="shared" si="14"/>
        <v/>
      </c>
      <c r="B471" s="41"/>
      <c r="C471" s="42"/>
      <c r="D471" s="42"/>
      <c r="E471" s="41"/>
      <c r="F471" s="41"/>
      <c r="G471" s="41"/>
      <c r="H471" s="43"/>
      <c r="I471" s="42"/>
      <c r="J471" s="42"/>
      <c r="K471" s="42"/>
      <c r="L471" s="44"/>
      <c r="M471" s="40" t="str">
        <f t="shared" si="15"/>
        <v/>
      </c>
      <c r="N471" s="38" t="str">
        <f ca="1">IF(M471="","",IF(M471="","",IF(OR(IFERROR(INDEX('Calibration Schedule'!J:J,MATCH(B471,'Calibration Schedule'!C:C,0)),"")="Sent for calibration",IFERROR(INDEX('Calibration Schedule'!J:J,MATCH(B471,'Calibration Schedule'!C:C,0)),"")="Scheduled for calibration"),IFERROR(INDEX('Calibration Schedule'!J:J,MATCH(B471,'Calibration Schedule'!C:C,0)),""),IF(M471&lt;TODAY(),"Expired",IF(M471&lt;=TODAY()+30,"Expiring Soon","Pass")))))</f>
        <v/>
      </c>
      <c r="O471" s="43"/>
      <c r="P471" s="42"/>
      <c r="Q471" s="42"/>
      <c r="R471" s="52"/>
    </row>
    <row r="472" spans="1:18">
      <c r="A472" s="38" t="str">
        <f t="shared" si="14"/>
        <v/>
      </c>
      <c r="B472" s="39"/>
      <c r="C472" s="38"/>
      <c r="D472" s="38"/>
      <c r="E472" s="39"/>
      <c r="F472" s="39"/>
      <c r="G472" s="39"/>
      <c r="H472" s="10"/>
      <c r="I472" s="38"/>
      <c r="J472" s="38"/>
      <c r="K472" s="38"/>
      <c r="L472" s="40"/>
      <c r="M472" s="40" t="str">
        <f t="shared" si="15"/>
        <v/>
      </c>
      <c r="N472" s="38" t="str">
        <f ca="1">IF(M472="","",IF(M472="","",IF(OR(IFERROR(INDEX('Calibration Schedule'!J:J,MATCH(B472,'Calibration Schedule'!C:C,0)),"")="Sent for calibration",IFERROR(INDEX('Calibration Schedule'!J:J,MATCH(B472,'Calibration Schedule'!C:C,0)),"")="Scheduled for calibration"),IFERROR(INDEX('Calibration Schedule'!J:J,MATCH(B472,'Calibration Schedule'!C:C,0)),""),IF(M472&lt;TODAY(),"Expired",IF(M472&lt;=TODAY()+30,"Expiring Soon","Pass")))))</f>
        <v/>
      </c>
      <c r="O472" s="10"/>
      <c r="P472" s="38"/>
      <c r="Q472" s="38"/>
      <c r="R472" s="52"/>
    </row>
    <row r="473" spans="1:18">
      <c r="A473" s="38" t="str">
        <f t="shared" si="14"/>
        <v/>
      </c>
      <c r="B473" s="41"/>
      <c r="C473" s="42"/>
      <c r="D473" s="42"/>
      <c r="E473" s="41"/>
      <c r="F473" s="41"/>
      <c r="G473" s="41"/>
      <c r="H473" s="43"/>
      <c r="I473" s="42"/>
      <c r="J473" s="42"/>
      <c r="K473" s="42"/>
      <c r="L473" s="44"/>
      <c r="M473" s="40" t="str">
        <f t="shared" si="15"/>
        <v/>
      </c>
      <c r="N473" s="38" t="str">
        <f ca="1">IF(M473="","",IF(M473="","",IF(OR(IFERROR(INDEX('Calibration Schedule'!J:J,MATCH(B473,'Calibration Schedule'!C:C,0)),"")="Sent for calibration",IFERROR(INDEX('Calibration Schedule'!J:J,MATCH(B473,'Calibration Schedule'!C:C,0)),"")="Scheduled for calibration"),IFERROR(INDEX('Calibration Schedule'!J:J,MATCH(B473,'Calibration Schedule'!C:C,0)),""),IF(M473&lt;TODAY(),"Expired",IF(M473&lt;=TODAY()+30,"Expiring Soon","Pass")))))</f>
        <v/>
      </c>
      <c r="O473" s="43"/>
      <c r="P473" s="42"/>
      <c r="Q473" s="42"/>
      <c r="R473" s="52"/>
    </row>
    <row r="474" spans="1:18">
      <c r="A474" s="38" t="str">
        <f t="shared" si="14"/>
        <v/>
      </c>
      <c r="B474" s="39"/>
      <c r="C474" s="38"/>
      <c r="D474" s="38"/>
      <c r="E474" s="39"/>
      <c r="F474" s="39"/>
      <c r="G474" s="39"/>
      <c r="H474" s="10"/>
      <c r="I474" s="38"/>
      <c r="J474" s="38"/>
      <c r="K474" s="38"/>
      <c r="L474" s="40"/>
      <c r="M474" s="40" t="str">
        <f t="shared" si="15"/>
        <v/>
      </c>
      <c r="N474" s="38" t="str">
        <f ca="1">IF(M474="","",IF(M474="","",IF(OR(IFERROR(INDEX('Calibration Schedule'!J:J,MATCH(B474,'Calibration Schedule'!C:C,0)),"")="Sent for calibration",IFERROR(INDEX('Calibration Schedule'!J:J,MATCH(B474,'Calibration Schedule'!C:C,0)),"")="Scheduled for calibration"),IFERROR(INDEX('Calibration Schedule'!J:J,MATCH(B474,'Calibration Schedule'!C:C,0)),""),IF(M474&lt;TODAY(),"Expired",IF(M474&lt;=TODAY()+30,"Expiring Soon","Pass")))))</f>
        <v/>
      </c>
      <c r="O474" s="10"/>
      <c r="P474" s="38"/>
      <c r="Q474" s="38"/>
      <c r="R474" s="52"/>
    </row>
    <row r="475" spans="1:18">
      <c r="A475" s="38" t="str">
        <f t="shared" si="14"/>
        <v/>
      </c>
      <c r="B475" s="41"/>
      <c r="C475" s="42"/>
      <c r="D475" s="42"/>
      <c r="E475" s="41"/>
      <c r="F475" s="41"/>
      <c r="G475" s="41"/>
      <c r="H475" s="43"/>
      <c r="I475" s="42"/>
      <c r="J475" s="42"/>
      <c r="K475" s="42"/>
      <c r="L475" s="44"/>
      <c r="M475" s="40" t="str">
        <f t="shared" si="15"/>
        <v/>
      </c>
      <c r="N475" s="38" t="str">
        <f ca="1">IF(M475="","",IF(M475="","",IF(OR(IFERROR(INDEX('Calibration Schedule'!J:J,MATCH(B475,'Calibration Schedule'!C:C,0)),"")="Sent for calibration",IFERROR(INDEX('Calibration Schedule'!J:J,MATCH(B475,'Calibration Schedule'!C:C,0)),"")="Scheduled for calibration"),IFERROR(INDEX('Calibration Schedule'!J:J,MATCH(B475,'Calibration Schedule'!C:C,0)),""),IF(M475&lt;TODAY(),"Expired",IF(M475&lt;=TODAY()+30,"Expiring Soon","Pass")))))</f>
        <v/>
      </c>
      <c r="O475" s="43"/>
      <c r="P475" s="42"/>
      <c r="Q475" s="42"/>
      <c r="R475" s="52"/>
    </row>
    <row r="476" spans="1:18">
      <c r="A476" s="38" t="str">
        <f t="shared" si="14"/>
        <v/>
      </c>
      <c r="B476" s="39"/>
      <c r="C476" s="38"/>
      <c r="D476" s="38"/>
      <c r="E476" s="39"/>
      <c r="F476" s="39"/>
      <c r="G476" s="39"/>
      <c r="H476" s="10"/>
      <c r="I476" s="38"/>
      <c r="J476" s="38"/>
      <c r="K476" s="38"/>
      <c r="L476" s="40"/>
      <c r="M476" s="40" t="str">
        <f t="shared" si="15"/>
        <v/>
      </c>
      <c r="N476" s="38" t="str">
        <f ca="1">IF(M476="","",IF(M476="","",IF(OR(IFERROR(INDEX('Calibration Schedule'!J:J,MATCH(B476,'Calibration Schedule'!C:C,0)),"")="Sent for calibration",IFERROR(INDEX('Calibration Schedule'!J:J,MATCH(B476,'Calibration Schedule'!C:C,0)),"")="Scheduled for calibration"),IFERROR(INDEX('Calibration Schedule'!J:J,MATCH(B476,'Calibration Schedule'!C:C,0)),""),IF(M476&lt;TODAY(),"Expired",IF(M476&lt;=TODAY()+30,"Expiring Soon","Pass")))))</f>
        <v/>
      </c>
      <c r="O476" s="10"/>
      <c r="P476" s="38"/>
      <c r="Q476" s="38"/>
      <c r="R476" s="52"/>
    </row>
    <row r="477" spans="1:18">
      <c r="A477" s="38" t="str">
        <f t="shared" si="14"/>
        <v/>
      </c>
      <c r="B477" s="41"/>
      <c r="C477" s="42"/>
      <c r="D477" s="42"/>
      <c r="E477" s="41"/>
      <c r="F477" s="41"/>
      <c r="G477" s="41"/>
      <c r="H477" s="43"/>
      <c r="I477" s="42"/>
      <c r="J477" s="42"/>
      <c r="K477" s="42"/>
      <c r="L477" s="44"/>
      <c r="M477" s="40" t="str">
        <f t="shared" si="15"/>
        <v/>
      </c>
      <c r="N477" s="38" t="str">
        <f ca="1">IF(M477="","",IF(M477="","",IF(OR(IFERROR(INDEX('Calibration Schedule'!J:J,MATCH(B477,'Calibration Schedule'!C:C,0)),"")="Sent for calibration",IFERROR(INDEX('Calibration Schedule'!J:J,MATCH(B477,'Calibration Schedule'!C:C,0)),"")="Scheduled for calibration"),IFERROR(INDEX('Calibration Schedule'!J:J,MATCH(B477,'Calibration Schedule'!C:C,0)),""),IF(M477&lt;TODAY(),"Expired",IF(M477&lt;=TODAY()+30,"Expiring Soon","Pass")))))</f>
        <v/>
      </c>
      <c r="O477" s="43"/>
      <c r="P477" s="42"/>
      <c r="Q477" s="42"/>
      <c r="R477" s="52"/>
    </row>
    <row r="478" spans="1:18">
      <c r="A478" s="38" t="str">
        <f t="shared" si="14"/>
        <v/>
      </c>
      <c r="B478" s="39"/>
      <c r="C478" s="38"/>
      <c r="D478" s="38"/>
      <c r="E478" s="39"/>
      <c r="F478" s="39"/>
      <c r="G478" s="39"/>
      <c r="H478" s="10"/>
      <c r="I478" s="38"/>
      <c r="J478" s="38"/>
      <c r="K478" s="38"/>
      <c r="L478" s="40"/>
      <c r="M478" s="40" t="str">
        <f t="shared" si="15"/>
        <v/>
      </c>
      <c r="N478" s="38" t="str">
        <f ca="1">IF(M478="","",IF(M478="","",IF(OR(IFERROR(INDEX('Calibration Schedule'!J:J,MATCH(B478,'Calibration Schedule'!C:C,0)),"")="Sent for calibration",IFERROR(INDEX('Calibration Schedule'!J:J,MATCH(B478,'Calibration Schedule'!C:C,0)),"")="Scheduled for calibration"),IFERROR(INDEX('Calibration Schedule'!J:J,MATCH(B478,'Calibration Schedule'!C:C,0)),""),IF(M478&lt;TODAY(),"Expired",IF(M478&lt;=TODAY()+30,"Expiring Soon","Pass")))))</f>
        <v/>
      </c>
      <c r="O478" s="10"/>
      <c r="P478" s="38"/>
      <c r="Q478" s="38"/>
      <c r="R478" s="52"/>
    </row>
    <row r="479" spans="1:18">
      <c r="A479" s="38" t="str">
        <f t="shared" si="14"/>
        <v/>
      </c>
      <c r="B479" s="41"/>
      <c r="C479" s="42"/>
      <c r="D479" s="42"/>
      <c r="E479" s="41"/>
      <c r="F479" s="41"/>
      <c r="G479" s="41"/>
      <c r="H479" s="43"/>
      <c r="I479" s="42"/>
      <c r="J479" s="42"/>
      <c r="K479" s="42"/>
      <c r="L479" s="44"/>
      <c r="M479" s="40" t="str">
        <f t="shared" si="15"/>
        <v/>
      </c>
      <c r="N479" s="38" t="str">
        <f ca="1">IF(M479="","",IF(M479="","",IF(OR(IFERROR(INDEX('Calibration Schedule'!J:J,MATCH(B479,'Calibration Schedule'!C:C,0)),"")="Sent for calibration",IFERROR(INDEX('Calibration Schedule'!J:J,MATCH(B479,'Calibration Schedule'!C:C,0)),"")="Scheduled for calibration"),IFERROR(INDEX('Calibration Schedule'!J:J,MATCH(B479,'Calibration Schedule'!C:C,0)),""),IF(M479&lt;TODAY(),"Expired",IF(M479&lt;=TODAY()+30,"Expiring Soon","Pass")))))</f>
        <v/>
      </c>
      <c r="O479" s="43"/>
      <c r="P479" s="42"/>
      <c r="Q479" s="42"/>
      <c r="R479" s="52"/>
    </row>
    <row r="480" spans="1:18">
      <c r="A480" s="38" t="str">
        <f t="shared" si="14"/>
        <v/>
      </c>
      <c r="B480" s="39"/>
      <c r="C480" s="38"/>
      <c r="D480" s="38"/>
      <c r="E480" s="39"/>
      <c r="F480" s="39"/>
      <c r="G480" s="39"/>
      <c r="H480" s="10"/>
      <c r="I480" s="38"/>
      <c r="J480" s="38"/>
      <c r="K480" s="38"/>
      <c r="L480" s="40"/>
      <c r="M480" s="40" t="str">
        <f t="shared" si="15"/>
        <v/>
      </c>
      <c r="N480" s="38" t="str">
        <f ca="1">IF(M480="","",IF(M480="","",IF(OR(IFERROR(INDEX('Calibration Schedule'!J:J,MATCH(B480,'Calibration Schedule'!C:C,0)),"")="Sent for calibration",IFERROR(INDEX('Calibration Schedule'!J:J,MATCH(B480,'Calibration Schedule'!C:C,0)),"")="Scheduled for calibration"),IFERROR(INDEX('Calibration Schedule'!J:J,MATCH(B480,'Calibration Schedule'!C:C,0)),""),IF(M480&lt;TODAY(),"Expired",IF(M480&lt;=TODAY()+30,"Expiring Soon","Pass")))))</f>
        <v/>
      </c>
      <c r="O480" s="10"/>
      <c r="P480" s="38"/>
      <c r="Q480" s="38"/>
      <c r="R480" s="52"/>
    </row>
    <row r="481" spans="1:18">
      <c r="A481" s="38" t="str">
        <f t="shared" si="14"/>
        <v/>
      </c>
      <c r="B481" s="41"/>
      <c r="C481" s="42"/>
      <c r="D481" s="42"/>
      <c r="E481" s="41"/>
      <c r="F481" s="41"/>
      <c r="G481" s="41"/>
      <c r="H481" s="43"/>
      <c r="I481" s="42"/>
      <c r="J481" s="42"/>
      <c r="K481" s="42"/>
      <c r="L481" s="44"/>
      <c r="M481" s="40" t="str">
        <f t="shared" si="15"/>
        <v/>
      </c>
      <c r="N481" s="38" t="str">
        <f ca="1">IF(M481="","",IF(M481="","",IF(OR(IFERROR(INDEX('Calibration Schedule'!J:J,MATCH(B481,'Calibration Schedule'!C:C,0)),"")="Sent for calibration",IFERROR(INDEX('Calibration Schedule'!J:J,MATCH(B481,'Calibration Schedule'!C:C,0)),"")="Scheduled for calibration"),IFERROR(INDEX('Calibration Schedule'!J:J,MATCH(B481,'Calibration Schedule'!C:C,0)),""),IF(M481&lt;TODAY(),"Expired",IF(M481&lt;=TODAY()+30,"Expiring Soon","Pass")))))</f>
        <v/>
      </c>
      <c r="O481" s="43"/>
      <c r="P481" s="42"/>
      <c r="Q481" s="42"/>
      <c r="R481" s="52"/>
    </row>
    <row r="482" spans="1:18">
      <c r="A482" s="38" t="str">
        <f t="shared" si="14"/>
        <v/>
      </c>
      <c r="B482" s="39"/>
      <c r="C482" s="38"/>
      <c r="D482" s="38"/>
      <c r="E482" s="39"/>
      <c r="F482" s="39"/>
      <c r="G482" s="39"/>
      <c r="H482" s="10"/>
      <c r="I482" s="38"/>
      <c r="J482" s="38"/>
      <c r="K482" s="38"/>
      <c r="L482" s="40"/>
      <c r="M482" s="40" t="str">
        <f t="shared" si="15"/>
        <v/>
      </c>
      <c r="N482" s="38" t="str">
        <f ca="1">IF(M482="","",IF(M482="","",IF(OR(IFERROR(INDEX('Calibration Schedule'!J:J,MATCH(B482,'Calibration Schedule'!C:C,0)),"")="Sent for calibration",IFERROR(INDEX('Calibration Schedule'!J:J,MATCH(B482,'Calibration Schedule'!C:C,0)),"")="Scheduled for calibration"),IFERROR(INDEX('Calibration Schedule'!J:J,MATCH(B482,'Calibration Schedule'!C:C,0)),""),IF(M482&lt;TODAY(),"Expired",IF(M482&lt;=TODAY()+30,"Expiring Soon","Pass")))))</f>
        <v/>
      </c>
      <c r="O482" s="10"/>
      <c r="P482" s="38"/>
      <c r="Q482" s="38"/>
      <c r="R482" s="52"/>
    </row>
    <row r="483" spans="1:18">
      <c r="A483" s="38" t="str">
        <f t="shared" si="14"/>
        <v/>
      </c>
      <c r="B483" s="41"/>
      <c r="C483" s="42"/>
      <c r="D483" s="42"/>
      <c r="E483" s="41"/>
      <c r="F483" s="41"/>
      <c r="G483" s="41"/>
      <c r="H483" s="43"/>
      <c r="I483" s="42"/>
      <c r="J483" s="42"/>
      <c r="K483" s="42"/>
      <c r="L483" s="44"/>
      <c r="M483" s="40" t="str">
        <f t="shared" si="15"/>
        <v/>
      </c>
      <c r="N483" s="38" t="str">
        <f ca="1">IF(M483="","",IF(M483="","",IF(OR(IFERROR(INDEX('Calibration Schedule'!J:J,MATCH(B483,'Calibration Schedule'!C:C,0)),"")="Sent for calibration",IFERROR(INDEX('Calibration Schedule'!J:J,MATCH(B483,'Calibration Schedule'!C:C,0)),"")="Scheduled for calibration"),IFERROR(INDEX('Calibration Schedule'!J:J,MATCH(B483,'Calibration Schedule'!C:C,0)),""),IF(M483&lt;TODAY(),"Expired",IF(M483&lt;=TODAY()+30,"Expiring Soon","Pass")))))</f>
        <v/>
      </c>
      <c r="O483" s="43"/>
      <c r="P483" s="42"/>
      <c r="Q483" s="42"/>
      <c r="R483" s="52"/>
    </row>
    <row r="484" spans="1:18">
      <c r="A484" s="38" t="str">
        <f t="shared" si="14"/>
        <v/>
      </c>
      <c r="B484" s="39"/>
      <c r="C484" s="38"/>
      <c r="D484" s="38"/>
      <c r="E484" s="39"/>
      <c r="F484" s="39"/>
      <c r="G484" s="39"/>
      <c r="H484" s="10"/>
      <c r="I484" s="38"/>
      <c r="J484" s="38"/>
      <c r="K484" s="38"/>
      <c r="L484" s="40"/>
      <c r="M484" s="40" t="str">
        <f t="shared" si="15"/>
        <v/>
      </c>
      <c r="N484" s="38" t="str">
        <f ca="1">IF(M484="","",IF(M484="","",IF(OR(IFERROR(INDEX('Calibration Schedule'!J:J,MATCH(B484,'Calibration Schedule'!C:C,0)),"")="Sent for calibration",IFERROR(INDEX('Calibration Schedule'!J:J,MATCH(B484,'Calibration Schedule'!C:C,0)),"")="Scheduled for calibration"),IFERROR(INDEX('Calibration Schedule'!J:J,MATCH(B484,'Calibration Schedule'!C:C,0)),""),IF(M484&lt;TODAY(),"Expired",IF(M484&lt;=TODAY()+30,"Expiring Soon","Pass")))))</f>
        <v/>
      </c>
      <c r="O484" s="10"/>
      <c r="P484" s="38"/>
      <c r="Q484" s="38"/>
      <c r="R484" s="52"/>
    </row>
    <row r="485" spans="1:18">
      <c r="A485" s="38" t="str">
        <f t="shared" si="14"/>
        <v/>
      </c>
      <c r="B485" s="41"/>
      <c r="C485" s="42"/>
      <c r="D485" s="42"/>
      <c r="E485" s="41"/>
      <c r="F485" s="41"/>
      <c r="G485" s="41"/>
      <c r="H485" s="43"/>
      <c r="I485" s="42"/>
      <c r="J485" s="42"/>
      <c r="K485" s="42"/>
      <c r="L485" s="44"/>
      <c r="M485" s="40" t="str">
        <f t="shared" si="15"/>
        <v/>
      </c>
      <c r="N485" s="38" t="str">
        <f ca="1">IF(M485="","",IF(M485="","",IF(OR(IFERROR(INDEX('Calibration Schedule'!J:J,MATCH(B485,'Calibration Schedule'!C:C,0)),"")="Sent for calibration",IFERROR(INDEX('Calibration Schedule'!J:J,MATCH(B485,'Calibration Schedule'!C:C,0)),"")="Scheduled for calibration"),IFERROR(INDEX('Calibration Schedule'!J:J,MATCH(B485,'Calibration Schedule'!C:C,0)),""),IF(M485&lt;TODAY(),"Expired",IF(M485&lt;=TODAY()+30,"Expiring Soon","Pass")))))</f>
        <v/>
      </c>
      <c r="O485" s="43"/>
      <c r="P485" s="42"/>
      <c r="Q485" s="42"/>
      <c r="R485" s="52"/>
    </row>
    <row r="486" spans="1:18">
      <c r="A486" s="38" t="str">
        <f t="shared" si="14"/>
        <v/>
      </c>
      <c r="B486" s="39"/>
      <c r="C486" s="38"/>
      <c r="D486" s="38"/>
      <c r="E486" s="39"/>
      <c r="F486" s="39"/>
      <c r="G486" s="39"/>
      <c r="H486" s="10"/>
      <c r="I486" s="38"/>
      <c r="J486" s="38"/>
      <c r="K486" s="38"/>
      <c r="L486" s="40"/>
      <c r="M486" s="40" t="str">
        <f t="shared" si="15"/>
        <v/>
      </c>
      <c r="N486" s="38" t="str">
        <f ca="1">IF(M486="","",IF(M486="","",IF(OR(IFERROR(INDEX('Calibration Schedule'!J:J,MATCH(B486,'Calibration Schedule'!C:C,0)),"")="Sent for calibration",IFERROR(INDEX('Calibration Schedule'!J:J,MATCH(B486,'Calibration Schedule'!C:C,0)),"")="Scheduled for calibration"),IFERROR(INDEX('Calibration Schedule'!J:J,MATCH(B486,'Calibration Schedule'!C:C,0)),""),IF(M486&lt;TODAY(),"Expired",IF(M486&lt;=TODAY()+30,"Expiring Soon","Pass")))))</f>
        <v/>
      </c>
      <c r="O486" s="10"/>
      <c r="P486" s="38"/>
      <c r="Q486" s="38"/>
      <c r="R486" s="52"/>
    </row>
    <row r="487" spans="1:18">
      <c r="A487" s="38" t="str">
        <f t="shared" si="14"/>
        <v/>
      </c>
      <c r="B487" s="41"/>
      <c r="C487" s="42"/>
      <c r="D487" s="42"/>
      <c r="E487" s="41"/>
      <c r="F487" s="41"/>
      <c r="G487" s="41"/>
      <c r="H487" s="43"/>
      <c r="I487" s="42"/>
      <c r="J487" s="42"/>
      <c r="K487" s="42"/>
      <c r="L487" s="44"/>
      <c r="M487" s="40" t="str">
        <f t="shared" si="15"/>
        <v/>
      </c>
      <c r="N487" s="38" t="str">
        <f ca="1">IF(M487="","",IF(M487="","",IF(OR(IFERROR(INDEX('Calibration Schedule'!J:J,MATCH(B487,'Calibration Schedule'!C:C,0)),"")="Sent for calibration",IFERROR(INDEX('Calibration Schedule'!J:J,MATCH(B487,'Calibration Schedule'!C:C,0)),"")="Scheduled for calibration"),IFERROR(INDEX('Calibration Schedule'!J:J,MATCH(B487,'Calibration Schedule'!C:C,0)),""),IF(M487&lt;TODAY(),"Expired",IF(M487&lt;=TODAY()+30,"Expiring Soon","Pass")))))</f>
        <v/>
      </c>
      <c r="O487" s="43"/>
      <c r="P487" s="42"/>
      <c r="Q487" s="42"/>
      <c r="R487" s="52"/>
    </row>
    <row r="488" spans="1:18">
      <c r="A488" s="38" t="str">
        <f t="shared" si="14"/>
        <v/>
      </c>
      <c r="B488" s="39"/>
      <c r="C488" s="38"/>
      <c r="D488" s="38"/>
      <c r="E488" s="39"/>
      <c r="F488" s="39"/>
      <c r="G488" s="39"/>
      <c r="H488" s="10"/>
      <c r="I488" s="38"/>
      <c r="J488" s="38"/>
      <c r="K488" s="38"/>
      <c r="L488" s="40"/>
      <c r="M488" s="40" t="str">
        <f t="shared" si="15"/>
        <v/>
      </c>
      <c r="N488" s="38" t="str">
        <f ca="1">IF(M488="","",IF(M488="","",IF(OR(IFERROR(INDEX('Calibration Schedule'!J:J,MATCH(B488,'Calibration Schedule'!C:C,0)),"")="Sent for calibration",IFERROR(INDEX('Calibration Schedule'!J:J,MATCH(B488,'Calibration Schedule'!C:C,0)),"")="Scheduled for calibration"),IFERROR(INDEX('Calibration Schedule'!J:J,MATCH(B488,'Calibration Schedule'!C:C,0)),""),IF(M488&lt;TODAY(),"Expired",IF(M488&lt;=TODAY()+30,"Expiring Soon","Pass")))))</f>
        <v/>
      </c>
      <c r="O488" s="10"/>
      <c r="P488" s="38"/>
      <c r="Q488" s="38"/>
      <c r="R488" s="52"/>
    </row>
    <row r="489" spans="1:18">
      <c r="A489" s="38" t="str">
        <f t="shared" si="14"/>
        <v/>
      </c>
      <c r="B489" s="41"/>
      <c r="C489" s="42"/>
      <c r="D489" s="42"/>
      <c r="E489" s="41"/>
      <c r="F489" s="41"/>
      <c r="G489" s="41"/>
      <c r="H489" s="43"/>
      <c r="I489" s="42"/>
      <c r="J489" s="42"/>
      <c r="K489" s="42"/>
      <c r="L489" s="44"/>
      <c r="M489" s="40" t="str">
        <f t="shared" si="15"/>
        <v/>
      </c>
      <c r="N489" s="38" t="str">
        <f ca="1">IF(M489="","",IF(M489="","",IF(OR(IFERROR(INDEX('Calibration Schedule'!J:J,MATCH(B489,'Calibration Schedule'!C:C,0)),"")="Sent for calibration",IFERROR(INDEX('Calibration Schedule'!J:J,MATCH(B489,'Calibration Schedule'!C:C,0)),"")="Scheduled for calibration"),IFERROR(INDEX('Calibration Schedule'!J:J,MATCH(B489,'Calibration Schedule'!C:C,0)),""),IF(M489&lt;TODAY(),"Expired",IF(M489&lt;=TODAY()+30,"Expiring Soon","Pass")))))</f>
        <v/>
      </c>
      <c r="O489" s="43"/>
      <c r="P489" s="42"/>
      <c r="Q489" s="42"/>
      <c r="R489" s="52"/>
    </row>
    <row r="490" spans="1:18">
      <c r="A490" s="38" t="str">
        <f t="shared" si="14"/>
        <v/>
      </c>
      <c r="B490" s="39"/>
      <c r="C490" s="38"/>
      <c r="D490" s="38"/>
      <c r="E490" s="39"/>
      <c r="F490" s="39"/>
      <c r="G490" s="39"/>
      <c r="H490" s="10"/>
      <c r="I490" s="38"/>
      <c r="J490" s="38"/>
      <c r="K490" s="38"/>
      <c r="L490" s="40"/>
      <c r="M490" s="40" t="str">
        <f t="shared" si="15"/>
        <v/>
      </c>
      <c r="N490" s="38" t="str">
        <f ca="1">IF(M490="","",IF(M490="","",IF(OR(IFERROR(INDEX('Calibration Schedule'!J:J,MATCH(B490,'Calibration Schedule'!C:C,0)),"")="Sent for calibration",IFERROR(INDEX('Calibration Schedule'!J:J,MATCH(B490,'Calibration Schedule'!C:C,0)),"")="Scheduled for calibration"),IFERROR(INDEX('Calibration Schedule'!J:J,MATCH(B490,'Calibration Schedule'!C:C,0)),""),IF(M490&lt;TODAY(),"Expired",IF(M490&lt;=TODAY()+30,"Expiring Soon","Pass")))))</f>
        <v/>
      </c>
      <c r="O490" s="10"/>
      <c r="P490" s="38"/>
      <c r="Q490" s="38"/>
      <c r="R490" s="52"/>
    </row>
    <row r="491" spans="1:18">
      <c r="A491" s="38" t="str">
        <f t="shared" si="14"/>
        <v/>
      </c>
      <c r="B491" s="41"/>
      <c r="C491" s="42"/>
      <c r="D491" s="42"/>
      <c r="E491" s="41"/>
      <c r="F491" s="41"/>
      <c r="G491" s="41"/>
      <c r="H491" s="43"/>
      <c r="I491" s="42"/>
      <c r="J491" s="42"/>
      <c r="K491" s="42"/>
      <c r="L491" s="44"/>
      <c r="M491" s="40" t="str">
        <f t="shared" si="15"/>
        <v/>
      </c>
      <c r="N491" s="38" t="str">
        <f ca="1">IF(M491="","",IF(M491="","",IF(OR(IFERROR(INDEX('Calibration Schedule'!J:J,MATCH(B491,'Calibration Schedule'!C:C,0)),"")="Sent for calibration",IFERROR(INDEX('Calibration Schedule'!J:J,MATCH(B491,'Calibration Schedule'!C:C,0)),"")="Scheduled for calibration"),IFERROR(INDEX('Calibration Schedule'!J:J,MATCH(B491,'Calibration Schedule'!C:C,0)),""),IF(M491&lt;TODAY(),"Expired",IF(M491&lt;=TODAY()+30,"Expiring Soon","Pass")))))</f>
        <v/>
      </c>
      <c r="O491" s="43"/>
      <c r="P491" s="42"/>
      <c r="Q491" s="42"/>
      <c r="R491" s="52"/>
    </row>
    <row r="492" spans="1:18">
      <c r="A492" s="38" t="str">
        <f t="shared" si="14"/>
        <v/>
      </c>
      <c r="B492" s="39"/>
      <c r="C492" s="38"/>
      <c r="D492" s="38"/>
      <c r="E492" s="39"/>
      <c r="F492" s="39"/>
      <c r="G492" s="39"/>
      <c r="H492" s="10"/>
      <c r="I492" s="38"/>
      <c r="J492" s="38"/>
      <c r="K492" s="38"/>
      <c r="L492" s="40"/>
      <c r="M492" s="40" t="str">
        <f t="shared" si="15"/>
        <v/>
      </c>
      <c r="N492" s="38" t="str">
        <f ca="1">IF(M492="","",IF(M492="","",IF(OR(IFERROR(INDEX('Calibration Schedule'!J:J,MATCH(B492,'Calibration Schedule'!C:C,0)),"")="Sent for calibration",IFERROR(INDEX('Calibration Schedule'!J:J,MATCH(B492,'Calibration Schedule'!C:C,0)),"")="Scheduled for calibration"),IFERROR(INDEX('Calibration Schedule'!J:J,MATCH(B492,'Calibration Schedule'!C:C,0)),""),IF(M492&lt;TODAY(),"Expired",IF(M492&lt;=TODAY()+30,"Expiring Soon","Pass")))))</f>
        <v/>
      </c>
      <c r="O492" s="10"/>
      <c r="P492" s="38"/>
      <c r="Q492" s="38"/>
      <c r="R492" s="52"/>
    </row>
    <row r="493" spans="1:18">
      <c r="A493" s="38" t="str">
        <f t="shared" si="14"/>
        <v/>
      </c>
      <c r="B493" s="41"/>
      <c r="C493" s="42"/>
      <c r="D493" s="42"/>
      <c r="E493" s="41"/>
      <c r="F493" s="41"/>
      <c r="G493" s="41"/>
      <c r="H493" s="43"/>
      <c r="I493" s="42"/>
      <c r="J493" s="42"/>
      <c r="K493" s="42"/>
      <c r="L493" s="44"/>
      <c r="M493" s="40" t="str">
        <f t="shared" si="15"/>
        <v/>
      </c>
      <c r="N493" s="38" t="str">
        <f ca="1">IF(M493="","",IF(M493="","",IF(OR(IFERROR(INDEX('Calibration Schedule'!J:J,MATCH(B493,'Calibration Schedule'!C:C,0)),"")="Sent for calibration",IFERROR(INDEX('Calibration Schedule'!J:J,MATCH(B493,'Calibration Schedule'!C:C,0)),"")="Scheduled for calibration"),IFERROR(INDEX('Calibration Schedule'!J:J,MATCH(B493,'Calibration Schedule'!C:C,0)),""),IF(M493&lt;TODAY(),"Expired",IF(M493&lt;=TODAY()+30,"Expiring Soon","Pass")))))</f>
        <v/>
      </c>
      <c r="O493" s="43"/>
      <c r="P493" s="42"/>
      <c r="Q493" s="42"/>
      <c r="R493" s="52"/>
    </row>
    <row r="494" spans="1:18">
      <c r="A494" s="38" t="str">
        <f t="shared" si="14"/>
        <v/>
      </c>
      <c r="B494" s="39"/>
      <c r="C494" s="38"/>
      <c r="D494" s="38"/>
      <c r="E494" s="39"/>
      <c r="F494" s="39"/>
      <c r="G494" s="39"/>
      <c r="H494" s="10"/>
      <c r="I494" s="38"/>
      <c r="J494" s="38"/>
      <c r="K494" s="38"/>
      <c r="L494" s="40"/>
      <c r="M494" s="40" t="str">
        <f t="shared" si="15"/>
        <v/>
      </c>
      <c r="N494" s="38" t="str">
        <f ca="1">IF(M494="","",IF(M494="","",IF(OR(IFERROR(INDEX('Calibration Schedule'!J:J,MATCH(B494,'Calibration Schedule'!C:C,0)),"")="Sent for calibration",IFERROR(INDEX('Calibration Schedule'!J:J,MATCH(B494,'Calibration Schedule'!C:C,0)),"")="Scheduled for calibration"),IFERROR(INDEX('Calibration Schedule'!J:J,MATCH(B494,'Calibration Schedule'!C:C,0)),""),IF(M494&lt;TODAY(),"Expired",IF(M494&lt;=TODAY()+30,"Expiring Soon","Pass")))))</f>
        <v/>
      </c>
      <c r="O494" s="10"/>
      <c r="P494" s="38"/>
      <c r="Q494" s="38"/>
      <c r="R494" s="52"/>
    </row>
    <row r="495" spans="1:18">
      <c r="A495" s="38" t="str">
        <f t="shared" si="14"/>
        <v/>
      </c>
      <c r="B495" s="41"/>
      <c r="C495" s="42"/>
      <c r="D495" s="42"/>
      <c r="E495" s="41"/>
      <c r="F495" s="41"/>
      <c r="G495" s="41"/>
      <c r="H495" s="43"/>
      <c r="I495" s="42"/>
      <c r="J495" s="42"/>
      <c r="K495" s="42"/>
      <c r="L495" s="44"/>
      <c r="M495" s="40" t="str">
        <f t="shared" si="15"/>
        <v/>
      </c>
      <c r="N495" s="38" t="str">
        <f ca="1">IF(M495="","",IF(M495="","",IF(OR(IFERROR(INDEX('Calibration Schedule'!J:J,MATCH(B495,'Calibration Schedule'!C:C,0)),"")="Sent for calibration",IFERROR(INDEX('Calibration Schedule'!J:J,MATCH(B495,'Calibration Schedule'!C:C,0)),"")="Scheduled for calibration"),IFERROR(INDEX('Calibration Schedule'!J:J,MATCH(B495,'Calibration Schedule'!C:C,0)),""),IF(M495&lt;TODAY(),"Expired",IF(M495&lt;=TODAY()+30,"Expiring Soon","Pass")))))</f>
        <v/>
      </c>
      <c r="O495" s="43"/>
      <c r="P495" s="42"/>
      <c r="Q495" s="42"/>
      <c r="R495" s="52"/>
    </row>
    <row r="496" spans="1:18">
      <c r="A496" s="38" t="str">
        <f t="shared" si="14"/>
        <v/>
      </c>
      <c r="B496" s="39"/>
      <c r="C496" s="38"/>
      <c r="D496" s="38"/>
      <c r="E496" s="39"/>
      <c r="F496" s="39"/>
      <c r="G496" s="39"/>
      <c r="H496" s="10"/>
      <c r="I496" s="38"/>
      <c r="J496" s="38"/>
      <c r="K496" s="38"/>
      <c r="L496" s="40"/>
      <c r="M496" s="40" t="str">
        <f t="shared" si="15"/>
        <v/>
      </c>
      <c r="N496" s="38" t="str">
        <f ca="1">IF(M496="","",IF(M496="","",IF(OR(IFERROR(INDEX('Calibration Schedule'!J:J,MATCH(B496,'Calibration Schedule'!C:C,0)),"")="Sent for calibration",IFERROR(INDEX('Calibration Schedule'!J:J,MATCH(B496,'Calibration Schedule'!C:C,0)),"")="Scheduled for calibration"),IFERROR(INDEX('Calibration Schedule'!J:J,MATCH(B496,'Calibration Schedule'!C:C,0)),""),IF(M496&lt;TODAY(),"Expired",IF(M496&lt;=TODAY()+30,"Expiring Soon","Pass")))))</f>
        <v/>
      </c>
      <c r="O496" s="10"/>
      <c r="P496" s="38"/>
      <c r="Q496" s="38"/>
      <c r="R496" s="52"/>
    </row>
    <row r="497" spans="1:18">
      <c r="A497" s="38" t="str">
        <f t="shared" si="14"/>
        <v/>
      </c>
      <c r="B497" s="41"/>
      <c r="C497" s="42"/>
      <c r="D497" s="42"/>
      <c r="E497" s="41"/>
      <c r="F497" s="41"/>
      <c r="G497" s="41"/>
      <c r="H497" s="43"/>
      <c r="I497" s="42"/>
      <c r="J497" s="42"/>
      <c r="K497" s="42"/>
      <c r="L497" s="44"/>
      <c r="M497" s="40" t="str">
        <f t="shared" si="15"/>
        <v/>
      </c>
      <c r="N497" s="38" t="str">
        <f ca="1">IF(M497="","",IF(M497="","",IF(OR(IFERROR(INDEX('Calibration Schedule'!J:J,MATCH(B497,'Calibration Schedule'!C:C,0)),"")="Sent for calibration",IFERROR(INDEX('Calibration Schedule'!J:J,MATCH(B497,'Calibration Schedule'!C:C,0)),"")="Scheduled for calibration"),IFERROR(INDEX('Calibration Schedule'!J:J,MATCH(B497,'Calibration Schedule'!C:C,0)),""),IF(M497&lt;TODAY(),"Expired",IF(M497&lt;=TODAY()+30,"Expiring Soon","Pass")))))</f>
        <v/>
      </c>
      <c r="O497" s="43"/>
      <c r="P497" s="42"/>
      <c r="Q497" s="42"/>
      <c r="R497" s="52"/>
    </row>
    <row r="498" spans="1:18">
      <c r="A498" s="38" t="str">
        <f t="shared" si="14"/>
        <v/>
      </c>
      <c r="B498" s="39"/>
      <c r="C498" s="38"/>
      <c r="D498" s="38"/>
      <c r="E498" s="39"/>
      <c r="F498" s="39"/>
      <c r="G498" s="39"/>
      <c r="H498" s="10"/>
      <c r="I498" s="38"/>
      <c r="J498" s="38"/>
      <c r="K498" s="38"/>
      <c r="L498" s="40"/>
      <c r="M498" s="40" t="str">
        <f t="shared" si="15"/>
        <v/>
      </c>
      <c r="N498" s="38" t="str">
        <f ca="1">IF(M498="","",IF(M498="","",IF(OR(IFERROR(INDEX('Calibration Schedule'!J:J,MATCH(B498,'Calibration Schedule'!C:C,0)),"")="Sent for calibration",IFERROR(INDEX('Calibration Schedule'!J:J,MATCH(B498,'Calibration Schedule'!C:C,0)),"")="Scheduled for calibration"),IFERROR(INDEX('Calibration Schedule'!J:J,MATCH(B498,'Calibration Schedule'!C:C,0)),""),IF(M498&lt;TODAY(),"Expired",IF(M498&lt;=TODAY()+30,"Expiring Soon","Pass")))))</f>
        <v/>
      </c>
      <c r="O498" s="10"/>
      <c r="P498" s="38"/>
      <c r="Q498" s="38"/>
      <c r="R498" s="52"/>
    </row>
    <row r="499" spans="1:18">
      <c r="A499" s="38" t="str">
        <f t="shared" si="14"/>
        <v/>
      </c>
      <c r="B499" s="41"/>
      <c r="C499" s="42"/>
      <c r="D499" s="42"/>
      <c r="E499" s="41"/>
      <c r="F499" s="41"/>
      <c r="G499" s="41"/>
      <c r="H499" s="43"/>
      <c r="I499" s="42"/>
      <c r="J499" s="42"/>
      <c r="K499" s="42"/>
      <c r="L499" s="44"/>
      <c r="M499" s="40" t="str">
        <f t="shared" si="15"/>
        <v/>
      </c>
      <c r="N499" s="38" t="str">
        <f ca="1">IF(M499="","",IF(M499="","",IF(OR(IFERROR(INDEX('Calibration Schedule'!J:J,MATCH(B499,'Calibration Schedule'!C:C,0)),"")="Sent for calibration",IFERROR(INDEX('Calibration Schedule'!J:J,MATCH(B499,'Calibration Schedule'!C:C,0)),"")="Scheduled for calibration"),IFERROR(INDEX('Calibration Schedule'!J:J,MATCH(B499,'Calibration Schedule'!C:C,0)),""),IF(M499&lt;TODAY(),"Expired",IF(M499&lt;=TODAY()+30,"Expiring Soon","Pass")))))</f>
        <v/>
      </c>
      <c r="O499" s="43"/>
      <c r="P499" s="42"/>
      <c r="Q499" s="42"/>
      <c r="R499" s="52"/>
    </row>
    <row r="500" spans="1:18">
      <c r="A500" s="38" t="str">
        <f t="shared" si="14"/>
        <v/>
      </c>
      <c r="B500" s="39"/>
      <c r="C500" s="38"/>
      <c r="D500" s="38"/>
      <c r="E500" s="39"/>
      <c r="F500" s="39"/>
      <c r="G500" s="39"/>
      <c r="H500" s="10"/>
      <c r="I500" s="38"/>
      <c r="J500" s="38"/>
      <c r="K500" s="38"/>
      <c r="L500" s="40"/>
      <c r="M500" s="40" t="str">
        <f t="shared" si="15"/>
        <v/>
      </c>
      <c r="N500" s="38" t="str">
        <f ca="1">IF(M500="","",IF(M500="","",IF(OR(IFERROR(INDEX('Calibration Schedule'!J:J,MATCH(B500,'Calibration Schedule'!C:C,0)),"")="Sent for calibration",IFERROR(INDEX('Calibration Schedule'!J:J,MATCH(B500,'Calibration Schedule'!C:C,0)),"")="Scheduled for calibration"),IFERROR(INDEX('Calibration Schedule'!J:J,MATCH(B500,'Calibration Schedule'!C:C,0)),""),IF(M500&lt;TODAY(),"Expired",IF(M500&lt;=TODAY()+30,"Expiring Soon","Pass")))))</f>
        <v/>
      </c>
      <c r="O500" s="10"/>
      <c r="P500" s="38"/>
      <c r="Q500" s="38"/>
      <c r="R500" s="52"/>
    </row>
    <row r="501" spans="1:18">
      <c r="A501" s="38" t="str">
        <f t="shared" si="14"/>
        <v/>
      </c>
      <c r="B501" s="41"/>
      <c r="C501" s="42"/>
      <c r="D501" s="42"/>
      <c r="E501" s="41"/>
      <c r="F501" s="41"/>
      <c r="G501" s="41"/>
      <c r="H501" s="43"/>
      <c r="I501" s="42"/>
      <c r="J501" s="42"/>
      <c r="K501" s="42"/>
      <c r="L501" s="44"/>
      <c r="M501" s="40" t="str">
        <f t="shared" si="15"/>
        <v/>
      </c>
      <c r="N501" s="38" t="str">
        <f ca="1">IF(M501="","",IF(M501="","",IF(OR(IFERROR(INDEX('Calibration Schedule'!J:J,MATCH(B501,'Calibration Schedule'!C:C,0)),"")="Sent for calibration",IFERROR(INDEX('Calibration Schedule'!J:J,MATCH(B501,'Calibration Schedule'!C:C,0)),"")="Scheduled for calibration"),IFERROR(INDEX('Calibration Schedule'!J:J,MATCH(B501,'Calibration Schedule'!C:C,0)),""),IF(M501&lt;TODAY(),"Expired",IF(M501&lt;=TODAY()+30,"Expiring Soon","Pass")))))</f>
        <v/>
      </c>
      <c r="O501" s="43"/>
      <c r="P501" s="42"/>
      <c r="Q501" s="42"/>
      <c r="R501" s="52"/>
    </row>
    <row r="502" spans="1:18">
      <c r="A502" s="38" t="str">
        <f t="shared" si="14"/>
        <v/>
      </c>
      <c r="B502" s="39"/>
      <c r="C502" s="38"/>
      <c r="D502" s="38"/>
      <c r="E502" s="39"/>
      <c r="F502" s="39"/>
      <c r="G502" s="39"/>
      <c r="H502" s="10"/>
      <c r="I502" s="38"/>
      <c r="J502" s="38"/>
      <c r="K502" s="38"/>
      <c r="L502" s="40"/>
      <c r="M502" s="40" t="str">
        <f t="shared" si="15"/>
        <v/>
      </c>
      <c r="N502" s="38" t="str">
        <f ca="1">IF(M502="","",IF(M502="","",IF(OR(IFERROR(INDEX('Calibration Schedule'!J:J,MATCH(B502,'Calibration Schedule'!C:C,0)),"")="Sent for calibration",IFERROR(INDEX('Calibration Schedule'!J:J,MATCH(B502,'Calibration Schedule'!C:C,0)),"")="Scheduled for calibration"),IFERROR(INDEX('Calibration Schedule'!J:J,MATCH(B502,'Calibration Schedule'!C:C,0)),""),IF(M502&lt;TODAY(),"Expired",IF(M502&lt;=TODAY()+30,"Expiring Soon","Pass")))))</f>
        <v/>
      </c>
      <c r="O502" s="10"/>
      <c r="P502" s="38"/>
      <c r="Q502" s="38"/>
      <c r="R502" s="52"/>
    </row>
    <row r="503" spans="1:18">
      <c r="A503" s="38" t="str">
        <f t="shared" si="14"/>
        <v/>
      </c>
      <c r="B503" s="41"/>
      <c r="C503" s="42"/>
      <c r="D503" s="42"/>
      <c r="E503" s="41"/>
      <c r="F503" s="41"/>
      <c r="G503" s="41"/>
      <c r="H503" s="43"/>
      <c r="I503" s="42"/>
      <c r="J503" s="42"/>
      <c r="K503" s="42"/>
      <c r="L503" s="44"/>
      <c r="M503" s="40" t="str">
        <f t="shared" si="15"/>
        <v/>
      </c>
      <c r="N503" s="38" t="str">
        <f ca="1">IF(M503="","",IF(M503="","",IF(OR(IFERROR(INDEX('Calibration Schedule'!J:J,MATCH(B503,'Calibration Schedule'!C:C,0)),"")="Sent for calibration",IFERROR(INDEX('Calibration Schedule'!J:J,MATCH(B503,'Calibration Schedule'!C:C,0)),"")="Scheduled for calibration"),IFERROR(INDEX('Calibration Schedule'!J:J,MATCH(B503,'Calibration Schedule'!C:C,0)),""),IF(M503&lt;TODAY(),"Expired",IF(M503&lt;=TODAY()+30,"Expiring Soon","Pass")))))</f>
        <v/>
      </c>
      <c r="O503" s="43"/>
      <c r="P503" s="42"/>
      <c r="Q503" s="42"/>
      <c r="R503" s="52"/>
    </row>
  </sheetData>
  <mergeCells count="40">
    <mergeCell ref="B43:B44"/>
    <mergeCell ref="Q169:Q174"/>
    <mergeCell ref="E92:E94"/>
    <mergeCell ref="E95:E97"/>
    <mergeCell ref="C22:C24"/>
    <mergeCell ref="C25:C27"/>
    <mergeCell ref="C29:C31"/>
    <mergeCell ref="B32:B33"/>
    <mergeCell ref="C32:C33"/>
    <mergeCell ref="C34:C35"/>
    <mergeCell ref="B34:B35"/>
    <mergeCell ref="B36:B37"/>
    <mergeCell ref="C36:C37"/>
    <mergeCell ref="C41:C42"/>
    <mergeCell ref="B41:B42"/>
    <mergeCell ref="C43:C44"/>
    <mergeCell ref="I119:I120"/>
    <mergeCell ref="C95:C97"/>
    <mergeCell ref="C92:C94"/>
    <mergeCell ref="R9:R11"/>
    <mergeCell ref="R6:R8"/>
    <mergeCell ref="R14:R17"/>
    <mergeCell ref="C39:C40"/>
    <mergeCell ref="C6:C8"/>
    <mergeCell ref="C9:C11"/>
    <mergeCell ref="H92:H94"/>
    <mergeCell ref="H95:H97"/>
    <mergeCell ref="I92:I94"/>
    <mergeCell ref="I95:I97"/>
    <mergeCell ref="I34:I35"/>
    <mergeCell ref="I36:I37"/>
    <mergeCell ref="I41:I42"/>
    <mergeCell ref="A1:Q1"/>
    <mergeCell ref="F14:F17"/>
    <mergeCell ref="C14:C17"/>
    <mergeCell ref="B14:B17"/>
    <mergeCell ref="F9:F11"/>
    <mergeCell ref="F6:F8"/>
    <mergeCell ref="E9:E11"/>
    <mergeCell ref="E6:E8"/>
  </mergeCells>
  <phoneticPr fontId="7" type="noConversion"/>
  <conditionalFormatting sqref="N4 N6:N503">
    <cfRule type="expression" dxfId="14" priority="1">
      <formula>N4="Pass"</formula>
    </cfRule>
    <cfRule type="expression" dxfId="13" priority="2">
      <formula>N4="Expired"</formula>
    </cfRule>
    <cfRule type="expression" dxfId="12" priority="3">
      <formula>N4="Expiring Soon"</formula>
    </cfRule>
    <cfRule type="expression" dxfId="11" priority="4">
      <formula>N4="Sent for calibration"</formula>
    </cfRule>
    <cfRule type="expression" dxfId="10" priority="5">
      <formula>N4="Scheduled for calibration"</formula>
    </cfRule>
  </conditionalFormatting>
  <conditionalFormatting sqref="A4:XFD39 A41:XFD1000 A40:B40 D40:XFD40">
    <cfRule type="expression" dxfId="9" priority="6">
      <formula>MOD(ROW()-4,2)=1</formula>
    </cfRule>
    <cfRule type="expression" dxfId="8" priority="7">
      <formula>MOD(ROW()-4,2)=0</formula>
    </cfRule>
  </conditionalFormatting>
  <dataValidations count="3">
    <dataValidation type="list" allowBlank="1" errorTitle="Invalid Tool Type" error="Please select a valid tool type" sqref="D4:D54 D56:D503" xr:uid="{00000000-0002-0000-0000-000000000000}">
      <formula1>"Crimping Tool,Electrical Tool,Hand Tool,Measuring Tool,Temperature Tool,Torque Tool,Testing Tool,Others"</formula1>
    </dataValidation>
    <dataValidation type="list" allowBlank="1" errorTitle="Invalid Period" error="Please select a valid calibration period" sqref="K4:K503" xr:uid="{00000000-0002-0000-0000-000001000000}">
      <formula1>"1,3,6,12,24,As needed,Not Eligible"</formula1>
    </dataValidation>
    <dataValidation type="list" allowBlank="1" errorTitle="Invalid Tool Type" error="Please select a valid tool type" sqref="D55" xr:uid="{72C1F67C-6695-4C4F-A189-81F89211C8B1}">
      <formula1>"Measuring Tool,Testing Tool,Torque Tool,Weighing Tool,Environmental Monitoring,Material Testing,Electrical Tool,Temperature Tool,Crimping Tool"</formula1>
    </dataValidation>
  </dataValidations>
  <pageMargins left="0.75" right="0.75" top="1" bottom="1" header="0.5" footer="0.5"/>
  <pageSetup paperSize="9" orientation="portrait" verticalDpi="0"/>
  <ignoredErrors>
    <ignoredError sqref="B4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003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2" sqref="A2"/>
    </sheetView>
  </sheetViews>
  <sheetFormatPr defaultRowHeight="14.5"/>
  <cols>
    <col min="1" max="1" width="6" customWidth="1"/>
    <col min="2" max="2" width="12" customWidth="1"/>
    <col min="3" max="3" width="14" style="20" bestFit="1" customWidth="1"/>
    <col min="4" max="4" width="22" customWidth="1"/>
    <col min="5" max="7" width="14" customWidth="1"/>
    <col min="8" max="8" width="12" customWidth="1"/>
    <col min="9" max="9" width="10" customWidth="1"/>
    <col min="10" max="10" width="22.81640625" bestFit="1" customWidth="1"/>
    <col min="11" max="11" width="20" customWidth="1"/>
    <col min="12" max="12" width="16" customWidth="1"/>
    <col min="13" max="13" width="18" customWidth="1"/>
    <col min="14" max="14" width="22" customWidth="1"/>
    <col min="15" max="15" width="16" customWidth="1"/>
  </cols>
  <sheetData>
    <row r="1" spans="1:15" ht="40" customHeight="1">
      <c r="A1" s="88" t="s">
        <v>86</v>
      </c>
      <c r="B1" s="89"/>
      <c r="C1" s="90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</row>
    <row r="2" spans="1:15" ht="22" customHeight="1">
      <c r="A2" s="1"/>
      <c r="I2" s="7"/>
    </row>
    <row r="3" spans="1:15" ht="32.15" customHeight="1">
      <c r="A3" s="2" t="s">
        <v>0</v>
      </c>
      <c r="B3" s="2" t="s">
        <v>39</v>
      </c>
      <c r="C3" s="21" t="s">
        <v>1</v>
      </c>
      <c r="D3" s="2" t="s">
        <v>2</v>
      </c>
      <c r="E3" s="2" t="s">
        <v>3</v>
      </c>
      <c r="F3" s="2" t="s">
        <v>6</v>
      </c>
      <c r="G3" s="2" t="s">
        <v>9</v>
      </c>
      <c r="H3" s="2" t="s">
        <v>40</v>
      </c>
      <c r="I3" s="2" t="s">
        <v>41</v>
      </c>
      <c r="J3" s="2" t="s">
        <v>13</v>
      </c>
      <c r="K3" s="2" t="s">
        <v>14</v>
      </c>
      <c r="L3" s="2" t="s">
        <v>42</v>
      </c>
      <c r="M3" s="2" t="s">
        <v>15</v>
      </c>
      <c r="N3" s="2" t="s">
        <v>43</v>
      </c>
      <c r="O3" s="2" t="s">
        <v>16</v>
      </c>
    </row>
    <row r="4" spans="1:15" ht="28" customHeight="1">
      <c r="A4" s="3">
        <f t="shared" ref="A4:A67" si="0">IF(C4="","",ROW(C4)-3)</f>
        <v>1</v>
      </c>
      <c r="B4" s="3" t="s">
        <v>44</v>
      </c>
      <c r="C4" s="22" t="s">
        <v>27</v>
      </c>
      <c r="D4" s="4" t="str">
        <f>IF(C4="","",IFERROR(VLOOKUP(C4,'Calibrated Tools Register'!B:C,2,FALSE),"NOT registered"))</f>
        <v>NOT registered</v>
      </c>
      <c r="E4" s="3" t="s">
        <v>28</v>
      </c>
      <c r="F4" s="4" t="s">
        <v>29</v>
      </c>
      <c r="G4" s="3" t="s">
        <v>30</v>
      </c>
      <c r="H4" s="3" t="str">
        <f ca="1">IFERROR(VLOOKUP(C4,'Calibrated Tools Register'!B:M,12,FALSE)-TODAY(),"")</f>
        <v/>
      </c>
      <c r="I4" s="3" t="str">
        <f ca="1">IF(H4="","",IF(H4&lt;=0,"Urgent",IF(H4&lt;=30,"High",IF(H4&lt;=45,"Medium","Low"))))</f>
        <v/>
      </c>
      <c r="J4" s="3" t="s">
        <v>45</v>
      </c>
      <c r="K4" s="4" t="s">
        <v>46</v>
      </c>
      <c r="L4" s="3"/>
      <c r="M4" s="4"/>
      <c r="N4" s="4"/>
      <c r="O4" s="4"/>
    </row>
    <row r="5" spans="1:15" ht="28" customHeight="1">
      <c r="A5" s="3">
        <f t="shared" si="0"/>
        <v>2</v>
      </c>
      <c r="B5" s="5" t="s">
        <v>44</v>
      </c>
      <c r="C5" s="23" t="s">
        <v>35</v>
      </c>
      <c r="D5" s="4" t="str">
        <f>IF(C5="","",IFERROR(VLOOKUP(C5,'Calibrated Tools Register'!B:C,2,FALSE),"NOT registered"))</f>
        <v>NOT registered</v>
      </c>
      <c r="E5" s="5" t="s">
        <v>36</v>
      </c>
      <c r="F5" s="6" t="s">
        <v>37</v>
      </c>
      <c r="G5" s="5" t="s">
        <v>38</v>
      </c>
      <c r="H5" s="5" t="str">
        <f ca="1">IFERROR(VLOOKUP(C5,'Calibrated Tools Register'!B:M,12,FALSE)-TODAY(),"")</f>
        <v/>
      </c>
      <c r="I5" s="3" t="str">
        <f t="shared" ref="I5:I68" ca="1" si="1">IF(H5="","",IF(H5&lt;=0,"Urgent",IF(H5&lt;=30,"High",IF(H5&lt;=45,"Medium","Low"))))</f>
        <v/>
      </c>
      <c r="J5" s="5" t="s">
        <v>47</v>
      </c>
      <c r="K5" s="6" t="s">
        <v>48</v>
      </c>
      <c r="L5" s="5"/>
      <c r="M5" s="6"/>
      <c r="N5" s="6"/>
      <c r="O5" s="6"/>
    </row>
    <row r="6" spans="1:15" ht="28" customHeight="1">
      <c r="A6" s="3">
        <f t="shared" si="0"/>
        <v>3</v>
      </c>
      <c r="B6" s="3" t="s">
        <v>49</v>
      </c>
      <c r="C6" s="22" t="s">
        <v>31</v>
      </c>
      <c r="D6" s="4" t="str">
        <f>IF(C6="","",IFERROR(VLOOKUP(C6,'Calibrated Tools Register'!B:C,2,FALSE),"NOT registered"))</f>
        <v>NOT registered</v>
      </c>
      <c r="E6" s="3" t="s">
        <v>32</v>
      </c>
      <c r="F6" s="4" t="s">
        <v>33</v>
      </c>
      <c r="G6" s="3" t="s">
        <v>34</v>
      </c>
      <c r="H6" s="3" t="str">
        <f ca="1">IFERROR(VLOOKUP(C6,'Calibrated Tools Register'!B:M,12,FALSE)-TODAY(),"")</f>
        <v/>
      </c>
      <c r="I6" s="3" t="str">
        <f t="shared" ca="1" si="1"/>
        <v/>
      </c>
      <c r="J6" s="3" t="s">
        <v>47</v>
      </c>
      <c r="K6" s="4" t="s">
        <v>46</v>
      </c>
      <c r="L6" s="3"/>
      <c r="M6" s="4"/>
      <c r="N6" s="4"/>
      <c r="O6" s="4"/>
    </row>
    <row r="7" spans="1:15" ht="28" customHeight="1">
      <c r="A7" s="3">
        <f t="shared" si="0"/>
        <v>4</v>
      </c>
      <c r="B7" s="5" t="s">
        <v>49</v>
      </c>
      <c r="C7" s="23" t="s">
        <v>50</v>
      </c>
      <c r="D7" s="4" t="str">
        <f>IF(C7="","",IFERROR(VLOOKUP(C7,'Calibrated Tools Register'!B:C,2,FALSE),"NOT registered"))</f>
        <v>NOT registered</v>
      </c>
      <c r="E7" s="5" t="s">
        <v>51</v>
      </c>
      <c r="F7" s="6" t="s">
        <v>52</v>
      </c>
      <c r="G7" s="5"/>
      <c r="H7" s="5" t="str">
        <f ca="1">IFERROR(VLOOKUP(C7,'Calibrated Tools Register'!B:M,12,FALSE)-TODAY(),"")</f>
        <v/>
      </c>
      <c r="I7" s="3" t="str">
        <f t="shared" ca="1" si="1"/>
        <v/>
      </c>
      <c r="J7" s="5"/>
      <c r="K7" s="6"/>
      <c r="L7" s="5"/>
      <c r="M7" s="6"/>
      <c r="N7" s="6"/>
      <c r="O7" s="6"/>
    </row>
    <row r="8" spans="1:15">
      <c r="A8" s="3" t="str">
        <f t="shared" si="0"/>
        <v/>
      </c>
      <c r="B8" s="3"/>
      <c r="C8" s="22"/>
      <c r="D8" s="4" t="str">
        <f>IF(C8="","",IFERROR(VLOOKUP(C8,'Calibrated Tools Register'!B:C,2,FALSE),"NOT registered"))</f>
        <v/>
      </c>
      <c r="E8" s="3"/>
      <c r="F8" s="4"/>
      <c r="G8" s="3"/>
      <c r="H8" s="3" t="str">
        <f ca="1">IFERROR(VLOOKUP(C8,'Calibrated Tools Register'!B:M,12,FALSE)-TODAY(),"")</f>
        <v/>
      </c>
      <c r="I8" s="3" t="str">
        <f t="shared" ca="1" si="1"/>
        <v/>
      </c>
      <c r="J8" s="3"/>
      <c r="K8" s="4"/>
      <c r="L8" s="3"/>
      <c r="M8" s="4"/>
      <c r="N8" s="4"/>
      <c r="O8" s="4"/>
    </row>
    <row r="9" spans="1:15">
      <c r="A9" s="3" t="str">
        <f t="shared" si="0"/>
        <v/>
      </c>
      <c r="B9" s="5"/>
      <c r="C9" s="23"/>
      <c r="D9" s="4" t="str">
        <f>IF(C9="","",IFERROR(VLOOKUP(C9,'Calibrated Tools Register'!B:C,2,FALSE),"NOT registered"))</f>
        <v/>
      </c>
      <c r="E9" s="5"/>
      <c r="F9" s="6"/>
      <c r="G9" s="5"/>
      <c r="H9" s="5" t="str">
        <f ca="1">IFERROR(VLOOKUP(C9,'Calibrated Tools Register'!B:M,12,FALSE)-TODAY(),"")</f>
        <v/>
      </c>
      <c r="I9" s="3" t="str">
        <f t="shared" ca="1" si="1"/>
        <v/>
      </c>
      <c r="J9" s="5"/>
      <c r="K9" s="6"/>
      <c r="L9" s="5"/>
      <c r="M9" s="6"/>
      <c r="N9" s="6"/>
      <c r="O9" s="6"/>
    </row>
    <row r="10" spans="1:15">
      <c r="A10" s="3" t="str">
        <f t="shared" si="0"/>
        <v/>
      </c>
      <c r="B10" s="3"/>
      <c r="C10" s="22"/>
      <c r="D10" s="4" t="str">
        <f>IF(C10="","",IFERROR(VLOOKUP(C10,'Calibrated Tools Register'!B:C,2,FALSE),"NOT registered"))</f>
        <v/>
      </c>
      <c r="E10" s="3"/>
      <c r="F10" s="4"/>
      <c r="G10" s="3"/>
      <c r="H10" s="3" t="str">
        <f ca="1">IFERROR(VLOOKUP(C10,'Calibrated Tools Register'!B:M,12,FALSE)-TODAY(),"")</f>
        <v/>
      </c>
      <c r="I10" s="3" t="str">
        <f t="shared" ca="1" si="1"/>
        <v/>
      </c>
      <c r="J10" s="3"/>
      <c r="K10" s="4"/>
      <c r="L10" s="3"/>
      <c r="M10" s="4"/>
      <c r="N10" s="4"/>
      <c r="O10" s="4"/>
    </row>
    <row r="11" spans="1:15">
      <c r="A11" s="3" t="str">
        <f t="shared" si="0"/>
        <v/>
      </c>
      <c r="B11" s="5"/>
      <c r="C11" s="23"/>
      <c r="D11" s="4" t="str">
        <f>IF(C11="","",IFERROR(VLOOKUP(C11,'Calibrated Tools Register'!B:C,2,FALSE),"NOT registered"))</f>
        <v/>
      </c>
      <c r="E11" s="5"/>
      <c r="F11" s="6"/>
      <c r="G11" s="5"/>
      <c r="H11" s="5" t="str">
        <f ca="1">IFERROR(VLOOKUP(C11,'Calibrated Tools Register'!B:M,12,FALSE)-TODAY(),"")</f>
        <v/>
      </c>
      <c r="I11" s="3" t="str">
        <f t="shared" ca="1" si="1"/>
        <v/>
      </c>
      <c r="J11" s="5"/>
      <c r="K11" s="6"/>
      <c r="L11" s="5"/>
      <c r="M11" s="6"/>
      <c r="N11" s="6"/>
      <c r="O11" s="6"/>
    </row>
    <row r="12" spans="1:15">
      <c r="A12" s="3" t="str">
        <f t="shared" si="0"/>
        <v/>
      </c>
      <c r="B12" s="3"/>
      <c r="C12" s="22"/>
      <c r="D12" s="4" t="str">
        <f>IF(C12="","",IFERROR(VLOOKUP(C12,'Calibrated Tools Register'!B:C,2,FALSE),"NOT registered"))</f>
        <v/>
      </c>
      <c r="E12" s="3"/>
      <c r="F12" s="4"/>
      <c r="G12" s="3"/>
      <c r="H12" s="3" t="str">
        <f ca="1">IFERROR(VLOOKUP(C12,'Calibrated Tools Register'!B:M,12,FALSE)-TODAY(),"")</f>
        <v/>
      </c>
      <c r="I12" s="3" t="str">
        <f t="shared" ca="1" si="1"/>
        <v/>
      </c>
      <c r="J12" s="3"/>
      <c r="K12" s="4"/>
      <c r="L12" s="3"/>
      <c r="M12" s="4"/>
      <c r="N12" s="4"/>
      <c r="O12" s="4"/>
    </row>
    <row r="13" spans="1:15">
      <c r="A13" s="3" t="str">
        <f t="shared" si="0"/>
        <v/>
      </c>
      <c r="B13" s="5"/>
      <c r="C13" s="23"/>
      <c r="D13" s="4" t="str">
        <f>IF(C13="","",IFERROR(VLOOKUP(C13,'Calibrated Tools Register'!B:C,2,FALSE),"NOT registered"))</f>
        <v/>
      </c>
      <c r="E13" s="5"/>
      <c r="F13" s="6"/>
      <c r="G13" s="5"/>
      <c r="H13" s="5" t="str">
        <f ca="1">IFERROR(VLOOKUP(C13,'Calibrated Tools Register'!B:M,12,FALSE)-TODAY(),"")</f>
        <v/>
      </c>
      <c r="I13" s="3" t="str">
        <f t="shared" ca="1" si="1"/>
        <v/>
      </c>
      <c r="J13" s="5"/>
      <c r="K13" s="6"/>
      <c r="L13" s="5"/>
      <c r="M13" s="6"/>
      <c r="N13" s="6"/>
      <c r="O13" s="6"/>
    </row>
    <row r="14" spans="1:15">
      <c r="A14" s="3" t="str">
        <f t="shared" si="0"/>
        <v/>
      </c>
      <c r="B14" s="3"/>
      <c r="C14" s="22"/>
      <c r="D14" s="4" t="str">
        <f>IF(C14="","",IFERROR(VLOOKUP(C14,'Calibrated Tools Register'!B:C,2,FALSE),"NOT registered"))</f>
        <v/>
      </c>
      <c r="E14" s="3"/>
      <c r="F14" s="4"/>
      <c r="G14" s="3"/>
      <c r="H14" s="3" t="str">
        <f ca="1">IFERROR(VLOOKUP(C14,'Calibrated Tools Register'!B:M,12,FALSE)-TODAY(),"")</f>
        <v/>
      </c>
      <c r="I14" s="3" t="str">
        <f t="shared" ca="1" si="1"/>
        <v/>
      </c>
      <c r="J14" s="3"/>
      <c r="K14" s="4"/>
      <c r="L14" s="3"/>
      <c r="M14" s="4"/>
      <c r="N14" s="4"/>
      <c r="O14" s="4"/>
    </row>
    <row r="15" spans="1:15">
      <c r="A15" s="3" t="str">
        <f t="shared" si="0"/>
        <v/>
      </c>
      <c r="B15" s="5"/>
      <c r="C15" s="23"/>
      <c r="D15" s="4" t="str">
        <f>IF(C15="","",IFERROR(VLOOKUP(C15,'Calibrated Tools Register'!B:C,2,FALSE),"NOT registered"))</f>
        <v/>
      </c>
      <c r="E15" s="5"/>
      <c r="F15" s="6"/>
      <c r="G15" s="5"/>
      <c r="H15" s="5" t="str">
        <f ca="1">IFERROR(VLOOKUP(C15,'Calibrated Tools Register'!B:M,12,FALSE)-TODAY(),"")</f>
        <v/>
      </c>
      <c r="I15" s="3" t="str">
        <f t="shared" ca="1" si="1"/>
        <v/>
      </c>
      <c r="J15" s="5"/>
      <c r="K15" s="6"/>
      <c r="L15" s="5"/>
      <c r="M15" s="6"/>
      <c r="N15" s="6"/>
      <c r="O15" s="6"/>
    </row>
    <row r="16" spans="1:15">
      <c r="A16" s="3" t="str">
        <f t="shared" si="0"/>
        <v/>
      </c>
      <c r="B16" s="3"/>
      <c r="C16" s="22"/>
      <c r="D16" s="4" t="str">
        <f>IF(C16="","",IFERROR(VLOOKUP(C16,'Calibrated Tools Register'!B:C,2,FALSE),"NOT registered"))</f>
        <v/>
      </c>
      <c r="E16" s="3"/>
      <c r="F16" s="4"/>
      <c r="G16" s="3"/>
      <c r="H16" s="3" t="str">
        <f ca="1">IFERROR(VLOOKUP(C16,'Calibrated Tools Register'!B:M,12,FALSE)-TODAY(),"")</f>
        <v/>
      </c>
      <c r="I16" s="3" t="str">
        <f t="shared" ca="1" si="1"/>
        <v/>
      </c>
      <c r="J16" s="3"/>
      <c r="K16" s="4"/>
      <c r="L16" s="3"/>
      <c r="M16" s="4"/>
      <c r="N16" s="4"/>
      <c r="O16" s="4"/>
    </row>
    <row r="17" spans="1:15">
      <c r="A17" s="3" t="str">
        <f t="shared" si="0"/>
        <v/>
      </c>
      <c r="B17" s="5"/>
      <c r="C17" s="23"/>
      <c r="D17" s="4" t="str">
        <f>IF(C17="","",IFERROR(VLOOKUP(C17,'Calibrated Tools Register'!B:C,2,FALSE),"NOT registered"))</f>
        <v/>
      </c>
      <c r="E17" s="5"/>
      <c r="F17" s="6"/>
      <c r="G17" s="5"/>
      <c r="H17" s="5" t="str">
        <f ca="1">IFERROR(VLOOKUP(C17,'Calibrated Tools Register'!B:M,12,FALSE)-TODAY(),"")</f>
        <v/>
      </c>
      <c r="I17" s="3" t="str">
        <f t="shared" ca="1" si="1"/>
        <v/>
      </c>
      <c r="J17" s="5"/>
      <c r="K17" s="6"/>
      <c r="L17" s="5"/>
      <c r="M17" s="6"/>
      <c r="N17" s="6"/>
      <c r="O17" s="6"/>
    </row>
    <row r="18" spans="1:15">
      <c r="A18" s="3" t="str">
        <f t="shared" si="0"/>
        <v/>
      </c>
      <c r="B18" s="3"/>
      <c r="C18" s="22"/>
      <c r="D18" s="4" t="str">
        <f>IF(C18="","",IFERROR(VLOOKUP(C18,'Calibrated Tools Register'!B:C,2,FALSE),"NOT registered"))</f>
        <v/>
      </c>
      <c r="E18" s="3"/>
      <c r="F18" s="4"/>
      <c r="G18" s="3"/>
      <c r="H18" s="3" t="str">
        <f ca="1">IFERROR(VLOOKUP(C18,'Calibrated Tools Register'!B:M,12,FALSE)-TODAY(),"")</f>
        <v/>
      </c>
      <c r="I18" s="3" t="str">
        <f t="shared" ca="1" si="1"/>
        <v/>
      </c>
      <c r="J18" s="3"/>
      <c r="K18" s="4"/>
      <c r="L18" s="3"/>
      <c r="M18" s="4"/>
      <c r="N18" s="4"/>
      <c r="O18" s="4"/>
    </row>
    <row r="19" spans="1:15">
      <c r="A19" s="3" t="str">
        <f t="shared" si="0"/>
        <v/>
      </c>
      <c r="B19" s="5"/>
      <c r="C19" s="23"/>
      <c r="D19" s="4" t="str">
        <f>IF(C19="","",IFERROR(VLOOKUP(C19,'Calibrated Tools Register'!B:C,2,FALSE),"NOT registered"))</f>
        <v/>
      </c>
      <c r="E19" s="5"/>
      <c r="F19" s="6"/>
      <c r="G19" s="5"/>
      <c r="H19" s="5" t="str">
        <f ca="1">IFERROR(VLOOKUP(C19,'Calibrated Tools Register'!B:M,12,FALSE)-TODAY(),"")</f>
        <v/>
      </c>
      <c r="I19" s="3" t="str">
        <f t="shared" ca="1" si="1"/>
        <v/>
      </c>
      <c r="J19" s="5"/>
      <c r="K19" s="6"/>
      <c r="L19" s="5"/>
      <c r="M19" s="6"/>
      <c r="N19" s="6"/>
      <c r="O19" s="6"/>
    </row>
    <row r="20" spans="1:15">
      <c r="A20" s="3" t="str">
        <f t="shared" si="0"/>
        <v/>
      </c>
      <c r="B20" s="3"/>
      <c r="C20" s="22"/>
      <c r="D20" s="4" t="str">
        <f>IF(C20="","",IFERROR(VLOOKUP(C20,'Calibrated Tools Register'!B:C,2,FALSE),"NOT registered"))</f>
        <v/>
      </c>
      <c r="E20" s="3"/>
      <c r="F20" s="4"/>
      <c r="G20" s="3"/>
      <c r="H20" s="3" t="str">
        <f ca="1">IFERROR(VLOOKUP(C20,'Calibrated Tools Register'!B:M,12,FALSE)-TODAY(),"")</f>
        <v/>
      </c>
      <c r="I20" s="3" t="str">
        <f t="shared" ca="1" si="1"/>
        <v/>
      </c>
      <c r="J20" s="3"/>
      <c r="K20" s="4"/>
      <c r="L20" s="3"/>
      <c r="M20" s="4"/>
      <c r="N20" s="4"/>
      <c r="O20" s="4"/>
    </row>
    <row r="21" spans="1:15">
      <c r="A21" s="3" t="str">
        <f t="shared" si="0"/>
        <v/>
      </c>
      <c r="B21" s="5"/>
      <c r="C21" s="23"/>
      <c r="D21" s="4" t="str">
        <f>IF(C21="","",IFERROR(VLOOKUP(C21,'Calibrated Tools Register'!B:C,2,FALSE),"NOT registered"))</f>
        <v/>
      </c>
      <c r="E21" s="5"/>
      <c r="F21" s="6"/>
      <c r="G21" s="5"/>
      <c r="H21" s="5" t="str">
        <f ca="1">IFERROR(VLOOKUP(C21,'Calibrated Tools Register'!B:M,12,FALSE)-TODAY(),"")</f>
        <v/>
      </c>
      <c r="I21" s="3" t="str">
        <f t="shared" ca="1" si="1"/>
        <v/>
      </c>
      <c r="J21" s="5"/>
      <c r="K21" s="6"/>
      <c r="L21" s="5"/>
      <c r="M21" s="6"/>
      <c r="N21" s="6"/>
      <c r="O21" s="6"/>
    </row>
    <row r="22" spans="1:15">
      <c r="A22" s="3" t="str">
        <f t="shared" si="0"/>
        <v/>
      </c>
      <c r="B22" s="3"/>
      <c r="C22" s="22"/>
      <c r="D22" s="4" t="str">
        <f>IF(C22="","",IFERROR(VLOOKUP(C22,'Calibrated Tools Register'!B:C,2,FALSE),"NOT registered"))</f>
        <v/>
      </c>
      <c r="E22" s="3"/>
      <c r="F22" s="4"/>
      <c r="G22" s="3"/>
      <c r="H22" s="3" t="str">
        <f ca="1">IFERROR(VLOOKUP(C22,'Calibrated Tools Register'!B:M,12,FALSE)-TODAY(),"")</f>
        <v/>
      </c>
      <c r="I22" s="3" t="str">
        <f t="shared" ca="1" si="1"/>
        <v/>
      </c>
      <c r="J22" s="3"/>
      <c r="K22" s="4"/>
      <c r="L22" s="3"/>
      <c r="M22" s="4"/>
      <c r="N22" s="4"/>
      <c r="O22" s="4"/>
    </row>
    <row r="23" spans="1:15">
      <c r="A23" s="3" t="str">
        <f t="shared" si="0"/>
        <v/>
      </c>
      <c r="B23" s="5"/>
      <c r="C23" s="23"/>
      <c r="D23" s="4" t="str">
        <f>IF(C23="","",IFERROR(VLOOKUP(C23,'Calibrated Tools Register'!B:C,2,FALSE),"NOT registered"))</f>
        <v/>
      </c>
      <c r="E23" s="5"/>
      <c r="F23" s="6"/>
      <c r="G23" s="5"/>
      <c r="H23" s="5" t="str">
        <f ca="1">IFERROR(VLOOKUP(C23,'Calibrated Tools Register'!B:M,12,FALSE)-TODAY(),"")</f>
        <v/>
      </c>
      <c r="I23" s="3" t="str">
        <f t="shared" ca="1" si="1"/>
        <v/>
      </c>
      <c r="J23" s="5"/>
      <c r="K23" s="6"/>
      <c r="L23" s="5"/>
      <c r="M23" s="6"/>
      <c r="N23" s="6"/>
      <c r="O23" s="6"/>
    </row>
    <row r="24" spans="1:15">
      <c r="A24" s="3" t="str">
        <f t="shared" si="0"/>
        <v/>
      </c>
      <c r="B24" s="3"/>
      <c r="C24" s="22"/>
      <c r="D24" s="4" t="str">
        <f>IF(C24="","",IFERROR(VLOOKUP(C24,'Calibrated Tools Register'!B:C,2,FALSE),"NOT registered"))</f>
        <v/>
      </c>
      <c r="E24" s="3"/>
      <c r="F24" s="4"/>
      <c r="G24" s="3"/>
      <c r="H24" s="3" t="str">
        <f ca="1">IFERROR(VLOOKUP(C24,'Calibrated Tools Register'!B:M,12,FALSE)-TODAY(),"")</f>
        <v/>
      </c>
      <c r="I24" s="3" t="str">
        <f t="shared" ca="1" si="1"/>
        <v/>
      </c>
      <c r="J24" s="3"/>
      <c r="K24" s="4"/>
      <c r="L24" s="3"/>
      <c r="M24" s="4"/>
      <c r="N24" s="4"/>
      <c r="O24" s="4"/>
    </row>
    <row r="25" spans="1:15">
      <c r="A25" s="3" t="str">
        <f t="shared" si="0"/>
        <v/>
      </c>
      <c r="B25" s="5"/>
      <c r="C25" s="23"/>
      <c r="D25" s="4" t="str">
        <f>IF(C25="","",IFERROR(VLOOKUP(C25,'Calibrated Tools Register'!B:C,2,FALSE),"NOT registered"))</f>
        <v/>
      </c>
      <c r="E25" s="5"/>
      <c r="F25" s="6"/>
      <c r="G25" s="5"/>
      <c r="H25" s="5" t="str">
        <f ca="1">IFERROR(VLOOKUP(C25,'Calibrated Tools Register'!B:M,12,FALSE)-TODAY(),"")</f>
        <v/>
      </c>
      <c r="I25" s="3" t="str">
        <f t="shared" ca="1" si="1"/>
        <v/>
      </c>
      <c r="J25" s="5"/>
      <c r="K25" s="6"/>
      <c r="L25" s="5"/>
      <c r="M25" s="6"/>
      <c r="N25" s="6"/>
      <c r="O25" s="6"/>
    </row>
    <row r="26" spans="1:15">
      <c r="A26" s="3" t="str">
        <f t="shared" si="0"/>
        <v/>
      </c>
      <c r="B26" s="3"/>
      <c r="C26" s="22"/>
      <c r="D26" s="4" t="str">
        <f>IF(C26="","",IFERROR(VLOOKUP(C26,'Calibrated Tools Register'!B:C,2,FALSE),"NOT registered"))</f>
        <v/>
      </c>
      <c r="E26" s="3"/>
      <c r="F26" s="4"/>
      <c r="G26" s="3"/>
      <c r="H26" s="3" t="str">
        <f ca="1">IFERROR(VLOOKUP(C26,'Calibrated Tools Register'!B:M,12,FALSE)-TODAY(),"")</f>
        <v/>
      </c>
      <c r="I26" s="3" t="str">
        <f t="shared" ca="1" si="1"/>
        <v/>
      </c>
      <c r="J26" s="3"/>
      <c r="K26" s="4"/>
      <c r="L26" s="3"/>
      <c r="M26" s="4"/>
      <c r="N26" s="4"/>
      <c r="O26" s="4"/>
    </row>
    <row r="27" spans="1:15">
      <c r="A27" s="3" t="str">
        <f t="shared" si="0"/>
        <v/>
      </c>
      <c r="B27" s="5"/>
      <c r="C27" s="23"/>
      <c r="D27" s="4" t="str">
        <f>IF(C27="","",IFERROR(VLOOKUP(C27,'Calibrated Tools Register'!B:C,2,FALSE),"NOT registered"))</f>
        <v/>
      </c>
      <c r="E27" s="5"/>
      <c r="F27" s="6"/>
      <c r="G27" s="5"/>
      <c r="H27" s="5" t="str">
        <f ca="1">IFERROR(VLOOKUP(C27,'Calibrated Tools Register'!B:M,12,FALSE)-TODAY(),"")</f>
        <v/>
      </c>
      <c r="I27" s="3" t="str">
        <f t="shared" ca="1" si="1"/>
        <v/>
      </c>
      <c r="J27" s="5"/>
      <c r="K27" s="6"/>
      <c r="L27" s="5"/>
      <c r="M27" s="6"/>
      <c r="N27" s="6"/>
      <c r="O27" s="6"/>
    </row>
    <row r="28" spans="1:15">
      <c r="A28" s="3" t="str">
        <f t="shared" si="0"/>
        <v/>
      </c>
      <c r="B28" s="3"/>
      <c r="C28" s="22"/>
      <c r="D28" s="4" t="str">
        <f>IF(C28="","",IFERROR(VLOOKUP(C28,'Calibrated Tools Register'!B:C,2,FALSE),"NOT registered"))</f>
        <v/>
      </c>
      <c r="E28" s="3"/>
      <c r="F28" s="4"/>
      <c r="G28" s="3"/>
      <c r="H28" s="3" t="str">
        <f ca="1">IFERROR(VLOOKUP(C28,'Calibrated Tools Register'!B:M,12,FALSE)-TODAY(),"")</f>
        <v/>
      </c>
      <c r="I28" s="3" t="str">
        <f t="shared" ca="1" si="1"/>
        <v/>
      </c>
      <c r="J28" s="3"/>
      <c r="K28" s="4"/>
      <c r="L28" s="3"/>
      <c r="M28" s="4"/>
      <c r="N28" s="4"/>
      <c r="O28" s="4"/>
    </row>
    <row r="29" spans="1:15">
      <c r="A29" s="3" t="str">
        <f t="shared" si="0"/>
        <v/>
      </c>
      <c r="B29" s="5"/>
      <c r="C29" s="23"/>
      <c r="D29" s="4" t="str">
        <f>IF(C29="","",IFERROR(VLOOKUP(C29,'Calibrated Tools Register'!B:C,2,FALSE),"NOT registered"))</f>
        <v/>
      </c>
      <c r="E29" s="5"/>
      <c r="F29" s="6"/>
      <c r="G29" s="5"/>
      <c r="H29" s="5" t="str">
        <f ca="1">IFERROR(VLOOKUP(C29,'Calibrated Tools Register'!B:M,12,FALSE)-TODAY(),"")</f>
        <v/>
      </c>
      <c r="I29" s="3" t="str">
        <f t="shared" ca="1" si="1"/>
        <v/>
      </c>
      <c r="J29" s="5"/>
      <c r="K29" s="6"/>
      <c r="L29" s="5"/>
      <c r="M29" s="6"/>
      <c r="N29" s="6"/>
      <c r="O29" s="6"/>
    </row>
    <row r="30" spans="1:15">
      <c r="A30" s="3" t="str">
        <f t="shared" si="0"/>
        <v/>
      </c>
      <c r="B30" s="3"/>
      <c r="C30" s="22"/>
      <c r="D30" s="4" t="str">
        <f>IF(C30="","",IFERROR(VLOOKUP(C30,'Calibrated Tools Register'!B:C,2,FALSE),"NOT registered"))</f>
        <v/>
      </c>
      <c r="E30" s="3"/>
      <c r="F30" s="4"/>
      <c r="G30" s="3"/>
      <c r="H30" s="3" t="str">
        <f ca="1">IFERROR(VLOOKUP(C30,'Calibrated Tools Register'!B:M,12,FALSE)-TODAY(),"")</f>
        <v/>
      </c>
      <c r="I30" s="3" t="str">
        <f t="shared" ca="1" si="1"/>
        <v/>
      </c>
      <c r="J30" s="3"/>
      <c r="K30" s="4"/>
      <c r="L30" s="3"/>
      <c r="M30" s="4"/>
      <c r="N30" s="4"/>
      <c r="O30" s="4"/>
    </row>
    <row r="31" spans="1:15">
      <c r="A31" s="3" t="str">
        <f t="shared" si="0"/>
        <v/>
      </c>
      <c r="B31" s="5"/>
      <c r="C31" s="23"/>
      <c r="D31" s="4" t="str">
        <f>IF(C31="","",IFERROR(VLOOKUP(C31,'Calibrated Tools Register'!B:C,2,FALSE),"NOT registered"))</f>
        <v/>
      </c>
      <c r="E31" s="5"/>
      <c r="F31" s="6"/>
      <c r="G31" s="5"/>
      <c r="H31" s="5" t="str">
        <f ca="1">IFERROR(VLOOKUP(C31,'Calibrated Tools Register'!B:M,12,FALSE)-TODAY(),"")</f>
        <v/>
      </c>
      <c r="I31" s="3" t="str">
        <f t="shared" ca="1" si="1"/>
        <v/>
      </c>
      <c r="J31" s="5"/>
      <c r="K31" s="6"/>
      <c r="L31" s="5"/>
      <c r="M31" s="6"/>
      <c r="N31" s="6"/>
      <c r="O31" s="6"/>
    </row>
    <row r="32" spans="1:15">
      <c r="A32" s="3" t="str">
        <f t="shared" si="0"/>
        <v/>
      </c>
      <c r="B32" s="3"/>
      <c r="C32" s="22"/>
      <c r="D32" s="4" t="str">
        <f>IF(C32="","",IFERROR(VLOOKUP(C32,'Calibrated Tools Register'!B:C,2,FALSE),"NOT registered"))</f>
        <v/>
      </c>
      <c r="E32" s="3"/>
      <c r="F32" s="4"/>
      <c r="G32" s="3"/>
      <c r="H32" s="3" t="str">
        <f ca="1">IFERROR(VLOOKUP(C32,'Calibrated Tools Register'!B:M,12,FALSE)-TODAY(),"")</f>
        <v/>
      </c>
      <c r="I32" s="3" t="str">
        <f t="shared" ca="1" si="1"/>
        <v/>
      </c>
      <c r="J32" s="3"/>
      <c r="K32" s="4"/>
      <c r="L32" s="3"/>
      <c r="M32" s="4"/>
      <c r="N32" s="4"/>
      <c r="O32" s="4"/>
    </row>
    <row r="33" spans="1:15">
      <c r="A33" s="3" t="str">
        <f t="shared" si="0"/>
        <v/>
      </c>
      <c r="B33" s="5"/>
      <c r="C33" s="23"/>
      <c r="D33" s="4" t="str">
        <f>IF(C33="","",IFERROR(VLOOKUP(C33,'Calibrated Tools Register'!B:C,2,FALSE),"NOT registered"))</f>
        <v/>
      </c>
      <c r="E33" s="5"/>
      <c r="F33" s="6"/>
      <c r="G33" s="5"/>
      <c r="H33" s="5" t="str">
        <f ca="1">IFERROR(VLOOKUP(C33,'Calibrated Tools Register'!B:M,12,FALSE)-TODAY(),"")</f>
        <v/>
      </c>
      <c r="I33" s="3" t="str">
        <f t="shared" ca="1" si="1"/>
        <v/>
      </c>
      <c r="J33" s="5"/>
      <c r="K33" s="6"/>
      <c r="L33" s="5"/>
      <c r="M33" s="6"/>
      <c r="N33" s="6"/>
      <c r="O33" s="6"/>
    </row>
    <row r="34" spans="1:15">
      <c r="A34" s="3" t="str">
        <f t="shared" si="0"/>
        <v/>
      </c>
      <c r="B34" s="3"/>
      <c r="C34" s="22"/>
      <c r="D34" s="4" t="str">
        <f>IF(C34="","",IFERROR(VLOOKUP(C34,'Calibrated Tools Register'!B:C,2,FALSE),"NOT registered"))</f>
        <v/>
      </c>
      <c r="E34" s="3"/>
      <c r="F34" s="4"/>
      <c r="G34" s="3"/>
      <c r="H34" s="3" t="str">
        <f ca="1">IFERROR(VLOOKUP(C34,'Calibrated Tools Register'!B:M,12,FALSE)-TODAY(),"")</f>
        <v/>
      </c>
      <c r="I34" s="3" t="str">
        <f t="shared" ca="1" si="1"/>
        <v/>
      </c>
      <c r="J34" s="3"/>
      <c r="K34" s="4"/>
      <c r="L34" s="3"/>
      <c r="M34" s="4"/>
      <c r="N34" s="4"/>
      <c r="O34" s="4"/>
    </row>
    <row r="35" spans="1:15">
      <c r="A35" s="3" t="str">
        <f t="shared" si="0"/>
        <v/>
      </c>
      <c r="B35" s="5"/>
      <c r="C35" s="23"/>
      <c r="D35" s="4" t="str">
        <f>IF(C35="","",IFERROR(VLOOKUP(C35,'Calibrated Tools Register'!B:C,2,FALSE),"NOT registered"))</f>
        <v/>
      </c>
      <c r="E35" s="5"/>
      <c r="F35" s="6"/>
      <c r="G35" s="5"/>
      <c r="H35" s="5" t="str">
        <f ca="1">IFERROR(VLOOKUP(C35,'Calibrated Tools Register'!B:M,12,FALSE)-TODAY(),"")</f>
        <v/>
      </c>
      <c r="I35" s="3" t="str">
        <f t="shared" ca="1" si="1"/>
        <v/>
      </c>
      <c r="J35" s="5"/>
      <c r="K35" s="6"/>
      <c r="L35" s="5"/>
      <c r="M35" s="6"/>
      <c r="N35" s="6"/>
      <c r="O35" s="6"/>
    </row>
    <row r="36" spans="1:15">
      <c r="A36" s="3" t="str">
        <f t="shared" si="0"/>
        <v/>
      </c>
      <c r="B36" s="3"/>
      <c r="C36" s="22"/>
      <c r="D36" s="4" t="str">
        <f>IF(C36="","",IFERROR(VLOOKUP(C36,'Calibrated Tools Register'!B:C,2,FALSE),"NOT registered"))</f>
        <v/>
      </c>
      <c r="E36" s="3"/>
      <c r="F36" s="4"/>
      <c r="G36" s="3"/>
      <c r="H36" s="3" t="str">
        <f ca="1">IFERROR(VLOOKUP(C36,'Calibrated Tools Register'!B:M,12,FALSE)-TODAY(),"")</f>
        <v/>
      </c>
      <c r="I36" s="3" t="str">
        <f t="shared" ca="1" si="1"/>
        <v/>
      </c>
      <c r="J36" s="3"/>
      <c r="K36" s="4"/>
      <c r="L36" s="3"/>
      <c r="M36" s="4"/>
      <c r="N36" s="4"/>
      <c r="O36" s="4"/>
    </row>
    <row r="37" spans="1:15">
      <c r="A37" s="3" t="str">
        <f t="shared" si="0"/>
        <v/>
      </c>
      <c r="B37" s="5"/>
      <c r="C37" s="23"/>
      <c r="D37" s="4" t="str">
        <f>IF(C37="","",IFERROR(VLOOKUP(C37,'Calibrated Tools Register'!B:C,2,FALSE),"NOT registered"))</f>
        <v/>
      </c>
      <c r="E37" s="5"/>
      <c r="F37" s="6"/>
      <c r="G37" s="5"/>
      <c r="H37" s="5" t="str">
        <f ca="1">IFERROR(VLOOKUP(C37,'Calibrated Tools Register'!B:M,12,FALSE)-TODAY(),"")</f>
        <v/>
      </c>
      <c r="I37" s="3" t="str">
        <f t="shared" ca="1" si="1"/>
        <v/>
      </c>
      <c r="J37" s="5"/>
      <c r="K37" s="6"/>
      <c r="L37" s="5"/>
      <c r="M37" s="6"/>
      <c r="N37" s="6"/>
      <c r="O37" s="6"/>
    </row>
    <row r="38" spans="1:15">
      <c r="A38" s="3" t="str">
        <f t="shared" si="0"/>
        <v/>
      </c>
      <c r="B38" s="3"/>
      <c r="C38" s="22"/>
      <c r="D38" s="4" t="str">
        <f>IF(C38="","",IFERROR(VLOOKUP(C38,'Calibrated Tools Register'!B:C,2,FALSE),"NOT registered"))</f>
        <v/>
      </c>
      <c r="E38" s="3"/>
      <c r="F38" s="4"/>
      <c r="G38" s="3"/>
      <c r="H38" s="3" t="str">
        <f ca="1">IFERROR(VLOOKUP(C38,'Calibrated Tools Register'!B:M,12,FALSE)-TODAY(),"")</f>
        <v/>
      </c>
      <c r="I38" s="3" t="str">
        <f t="shared" ca="1" si="1"/>
        <v/>
      </c>
      <c r="J38" s="3"/>
      <c r="K38" s="4"/>
      <c r="L38" s="3"/>
      <c r="M38" s="4"/>
      <c r="N38" s="4"/>
      <c r="O38" s="4"/>
    </row>
    <row r="39" spans="1:15">
      <c r="A39" s="3" t="str">
        <f t="shared" si="0"/>
        <v/>
      </c>
      <c r="B39" s="5"/>
      <c r="C39" s="23"/>
      <c r="D39" s="4" t="str">
        <f>IF(C39="","",IFERROR(VLOOKUP(C39,'Calibrated Tools Register'!B:C,2,FALSE),"NOT registered"))</f>
        <v/>
      </c>
      <c r="E39" s="5"/>
      <c r="F39" s="6"/>
      <c r="G39" s="5"/>
      <c r="H39" s="5" t="str">
        <f ca="1">IFERROR(VLOOKUP(C39,'Calibrated Tools Register'!B:M,12,FALSE)-TODAY(),"")</f>
        <v/>
      </c>
      <c r="I39" s="3" t="str">
        <f t="shared" ca="1" si="1"/>
        <v/>
      </c>
      <c r="J39" s="5"/>
      <c r="K39" s="6"/>
      <c r="L39" s="5"/>
      <c r="M39" s="6"/>
      <c r="N39" s="6"/>
      <c r="O39" s="6"/>
    </row>
    <row r="40" spans="1:15">
      <c r="A40" s="3" t="str">
        <f t="shared" si="0"/>
        <v/>
      </c>
      <c r="B40" s="3"/>
      <c r="C40" s="22"/>
      <c r="D40" s="4" t="str">
        <f>IF(C40="","",IFERROR(VLOOKUP(C40,'Calibrated Tools Register'!B:C,2,FALSE),"NOT registered"))</f>
        <v/>
      </c>
      <c r="E40" s="3"/>
      <c r="F40" s="4"/>
      <c r="G40" s="3"/>
      <c r="H40" s="3" t="str">
        <f ca="1">IFERROR(VLOOKUP(C40,'Calibrated Tools Register'!B:M,12,FALSE)-TODAY(),"")</f>
        <v/>
      </c>
      <c r="I40" s="3" t="str">
        <f t="shared" ca="1" si="1"/>
        <v/>
      </c>
      <c r="J40" s="3"/>
      <c r="K40" s="4"/>
      <c r="L40" s="3"/>
      <c r="M40" s="4"/>
      <c r="N40" s="4"/>
      <c r="O40" s="4"/>
    </row>
    <row r="41" spans="1:15">
      <c r="A41" s="3" t="str">
        <f t="shared" si="0"/>
        <v/>
      </c>
      <c r="B41" s="5"/>
      <c r="C41" s="23"/>
      <c r="D41" s="4" t="str">
        <f>IF(C41="","",IFERROR(VLOOKUP(C41,'Calibrated Tools Register'!B:C,2,FALSE),"NOT registered"))</f>
        <v/>
      </c>
      <c r="E41" s="5"/>
      <c r="F41" s="6"/>
      <c r="G41" s="5"/>
      <c r="H41" s="5" t="str">
        <f ca="1">IFERROR(VLOOKUP(C41,'Calibrated Tools Register'!B:M,12,FALSE)-TODAY(),"")</f>
        <v/>
      </c>
      <c r="I41" s="3" t="str">
        <f t="shared" ca="1" si="1"/>
        <v/>
      </c>
      <c r="J41" s="5"/>
      <c r="K41" s="6"/>
      <c r="L41" s="5"/>
      <c r="M41" s="6"/>
      <c r="N41" s="6"/>
      <c r="O41" s="6"/>
    </row>
    <row r="42" spans="1:15">
      <c r="A42" s="3" t="str">
        <f t="shared" si="0"/>
        <v/>
      </c>
      <c r="B42" s="3"/>
      <c r="C42" s="22"/>
      <c r="D42" s="4" t="str">
        <f>IF(C42="","",IFERROR(VLOOKUP(C42,'Calibrated Tools Register'!B:C,2,FALSE),"NOT registered"))</f>
        <v/>
      </c>
      <c r="E42" s="3"/>
      <c r="F42" s="4"/>
      <c r="G42" s="3"/>
      <c r="H42" s="3" t="str">
        <f ca="1">IFERROR(VLOOKUP(C42,'Calibrated Tools Register'!B:M,12,FALSE)-TODAY(),"")</f>
        <v/>
      </c>
      <c r="I42" s="3" t="str">
        <f t="shared" ca="1" si="1"/>
        <v/>
      </c>
      <c r="J42" s="3"/>
      <c r="K42" s="4"/>
      <c r="L42" s="3"/>
      <c r="M42" s="4"/>
      <c r="N42" s="4"/>
      <c r="O42" s="4"/>
    </row>
    <row r="43" spans="1:15">
      <c r="A43" s="3" t="str">
        <f t="shared" si="0"/>
        <v/>
      </c>
      <c r="B43" s="5"/>
      <c r="C43" s="23"/>
      <c r="D43" s="4" t="str">
        <f>IF(C43="","",IFERROR(VLOOKUP(C43,'Calibrated Tools Register'!B:C,2,FALSE),"NOT registered"))</f>
        <v/>
      </c>
      <c r="E43" s="5"/>
      <c r="F43" s="6"/>
      <c r="G43" s="5"/>
      <c r="H43" s="5" t="str">
        <f ca="1">IFERROR(VLOOKUP(C43,'Calibrated Tools Register'!B:M,12,FALSE)-TODAY(),"")</f>
        <v/>
      </c>
      <c r="I43" s="3" t="str">
        <f t="shared" ca="1" si="1"/>
        <v/>
      </c>
      <c r="J43" s="5"/>
      <c r="K43" s="6"/>
      <c r="L43" s="5"/>
      <c r="M43" s="6"/>
      <c r="N43" s="6"/>
      <c r="O43" s="6"/>
    </row>
    <row r="44" spans="1:15">
      <c r="A44" s="3" t="str">
        <f t="shared" si="0"/>
        <v/>
      </c>
      <c r="B44" s="3"/>
      <c r="C44" s="22"/>
      <c r="D44" s="4" t="str">
        <f>IF(C44="","",IFERROR(VLOOKUP(C44,'Calibrated Tools Register'!B:C,2,FALSE),"NOT registered"))</f>
        <v/>
      </c>
      <c r="E44" s="3"/>
      <c r="F44" s="4"/>
      <c r="G44" s="3"/>
      <c r="H44" s="3" t="str">
        <f ca="1">IFERROR(VLOOKUP(C44,'Calibrated Tools Register'!B:M,12,FALSE)-TODAY(),"")</f>
        <v/>
      </c>
      <c r="I44" s="3" t="str">
        <f t="shared" ca="1" si="1"/>
        <v/>
      </c>
      <c r="J44" s="3"/>
      <c r="K44" s="4"/>
      <c r="L44" s="3"/>
      <c r="M44" s="4"/>
      <c r="N44" s="4"/>
      <c r="O44" s="4"/>
    </row>
    <row r="45" spans="1:15">
      <c r="A45" s="3" t="str">
        <f t="shared" si="0"/>
        <v/>
      </c>
      <c r="B45" s="5"/>
      <c r="C45" s="23"/>
      <c r="D45" s="4" t="str">
        <f>IF(C45="","",IFERROR(VLOOKUP(C45,'Calibrated Tools Register'!B:C,2,FALSE),"NOT registered"))</f>
        <v/>
      </c>
      <c r="E45" s="5"/>
      <c r="F45" s="6"/>
      <c r="G45" s="5"/>
      <c r="H45" s="5" t="str">
        <f ca="1">IFERROR(VLOOKUP(C45,'Calibrated Tools Register'!B:M,12,FALSE)-TODAY(),"")</f>
        <v/>
      </c>
      <c r="I45" s="3" t="str">
        <f t="shared" ca="1" si="1"/>
        <v/>
      </c>
      <c r="J45" s="5"/>
      <c r="K45" s="6"/>
      <c r="L45" s="5"/>
      <c r="M45" s="6"/>
      <c r="N45" s="6"/>
      <c r="O45" s="6"/>
    </row>
    <row r="46" spans="1:15">
      <c r="A46" s="3" t="str">
        <f t="shared" si="0"/>
        <v/>
      </c>
      <c r="B46" s="3"/>
      <c r="C46" s="22"/>
      <c r="D46" s="4" t="str">
        <f>IF(C46="","",IFERROR(VLOOKUP(C46,'Calibrated Tools Register'!B:C,2,FALSE),"NOT registered"))</f>
        <v/>
      </c>
      <c r="E46" s="3"/>
      <c r="F46" s="4"/>
      <c r="G46" s="3"/>
      <c r="H46" s="3" t="str">
        <f ca="1">IFERROR(VLOOKUP(C46,'Calibrated Tools Register'!B:M,12,FALSE)-TODAY(),"")</f>
        <v/>
      </c>
      <c r="I46" s="3" t="str">
        <f t="shared" ca="1" si="1"/>
        <v/>
      </c>
      <c r="J46" s="3"/>
      <c r="K46" s="4"/>
      <c r="L46" s="3"/>
      <c r="M46" s="4"/>
      <c r="N46" s="4"/>
      <c r="O46" s="4"/>
    </row>
    <row r="47" spans="1:15">
      <c r="A47" s="3" t="str">
        <f t="shared" si="0"/>
        <v/>
      </c>
      <c r="B47" s="5"/>
      <c r="C47" s="23"/>
      <c r="D47" s="4" t="str">
        <f>IF(C47="","",IFERROR(VLOOKUP(C47,'Calibrated Tools Register'!B:C,2,FALSE),"NOT registered"))</f>
        <v/>
      </c>
      <c r="E47" s="5"/>
      <c r="F47" s="6"/>
      <c r="G47" s="5"/>
      <c r="H47" s="5" t="str">
        <f ca="1">IFERROR(VLOOKUP(C47,'Calibrated Tools Register'!B:M,12,FALSE)-TODAY(),"")</f>
        <v/>
      </c>
      <c r="I47" s="3" t="str">
        <f t="shared" ca="1" si="1"/>
        <v/>
      </c>
      <c r="J47" s="5"/>
      <c r="K47" s="6"/>
      <c r="L47" s="5"/>
      <c r="M47" s="6"/>
      <c r="N47" s="6"/>
      <c r="O47" s="6"/>
    </row>
    <row r="48" spans="1:15">
      <c r="A48" s="3" t="str">
        <f t="shared" si="0"/>
        <v/>
      </c>
      <c r="B48" s="3"/>
      <c r="C48" s="22"/>
      <c r="D48" s="4" t="str">
        <f>IF(C48="","",IFERROR(VLOOKUP(C48,'Calibrated Tools Register'!B:C,2,FALSE),"NOT registered"))</f>
        <v/>
      </c>
      <c r="E48" s="3"/>
      <c r="F48" s="4"/>
      <c r="G48" s="3"/>
      <c r="H48" s="3" t="str">
        <f ca="1">IFERROR(VLOOKUP(C48,'Calibrated Tools Register'!B:M,12,FALSE)-TODAY(),"")</f>
        <v/>
      </c>
      <c r="I48" s="3" t="str">
        <f t="shared" ca="1" si="1"/>
        <v/>
      </c>
      <c r="J48" s="3"/>
      <c r="K48" s="4"/>
      <c r="L48" s="3"/>
      <c r="M48" s="4"/>
      <c r="N48" s="4"/>
      <c r="O48" s="4"/>
    </row>
    <row r="49" spans="1:15">
      <c r="A49" s="3" t="str">
        <f t="shared" si="0"/>
        <v/>
      </c>
      <c r="B49" s="5"/>
      <c r="C49" s="23"/>
      <c r="D49" s="4" t="str">
        <f>IF(C49="","",IFERROR(VLOOKUP(C49,'Calibrated Tools Register'!B:C,2,FALSE),"NOT registered"))</f>
        <v/>
      </c>
      <c r="E49" s="5"/>
      <c r="F49" s="6"/>
      <c r="G49" s="5"/>
      <c r="H49" s="5" t="str">
        <f ca="1">IFERROR(VLOOKUP(C49,'Calibrated Tools Register'!B:M,12,FALSE)-TODAY(),"")</f>
        <v/>
      </c>
      <c r="I49" s="3" t="str">
        <f t="shared" ca="1" si="1"/>
        <v/>
      </c>
      <c r="J49" s="5"/>
      <c r="K49" s="6"/>
      <c r="L49" s="5"/>
      <c r="M49" s="6"/>
      <c r="N49" s="6"/>
      <c r="O49" s="6"/>
    </row>
    <row r="50" spans="1:15">
      <c r="A50" s="3" t="str">
        <f t="shared" si="0"/>
        <v/>
      </c>
      <c r="B50" s="3"/>
      <c r="C50" s="22"/>
      <c r="D50" s="4" t="str">
        <f>IF(C50="","",IFERROR(VLOOKUP(C50,'Calibrated Tools Register'!B:C,2,FALSE),"NOT registered"))</f>
        <v/>
      </c>
      <c r="E50" s="3"/>
      <c r="F50" s="4"/>
      <c r="G50" s="3"/>
      <c r="H50" s="3" t="str">
        <f ca="1">IFERROR(VLOOKUP(C50,'Calibrated Tools Register'!B:M,12,FALSE)-TODAY(),"")</f>
        <v/>
      </c>
      <c r="I50" s="3" t="str">
        <f t="shared" ca="1" si="1"/>
        <v/>
      </c>
      <c r="J50" s="3"/>
      <c r="K50" s="4"/>
      <c r="L50" s="3"/>
      <c r="M50" s="4"/>
      <c r="N50" s="4"/>
      <c r="O50" s="4"/>
    </row>
    <row r="51" spans="1:15">
      <c r="A51" s="3" t="str">
        <f t="shared" si="0"/>
        <v/>
      </c>
      <c r="B51" s="5"/>
      <c r="C51" s="23"/>
      <c r="D51" s="4" t="str">
        <f>IF(C51="","",IFERROR(VLOOKUP(C51,'Calibrated Tools Register'!B:C,2,FALSE),"NOT registered"))</f>
        <v/>
      </c>
      <c r="E51" s="5"/>
      <c r="F51" s="6"/>
      <c r="G51" s="5"/>
      <c r="H51" s="5" t="str">
        <f ca="1">IFERROR(VLOOKUP(C51,'Calibrated Tools Register'!B:M,12,FALSE)-TODAY(),"")</f>
        <v/>
      </c>
      <c r="I51" s="3" t="str">
        <f t="shared" ca="1" si="1"/>
        <v/>
      </c>
      <c r="J51" s="5"/>
      <c r="K51" s="6"/>
      <c r="L51" s="5"/>
      <c r="M51" s="6"/>
      <c r="N51" s="6"/>
      <c r="O51" s="6"/>
    </row>
    <row r="52" spans="1:15">
      <c r="A52" s="3" t="str">
        <f t="shared" si="0"/>
        <v/>
      </c>
      <c r="B52" s="3"/>
      <c r="C52" s="22"/>
      <c r="D52" s="4" t="str">
        <f>IF(C52="","",IFERROR(VLOOKUP(C52,'Calibrated Tools Register'!B:C,2,FALSE),"NOT registered"))</f>
        <v/>
      </c>
      <c r="E52" s="3"/>
      <c r="F52" s="4"/>
      <c r="G52" s="3"/>
      <c r="H52" s="3" t="str">
        <f ca="1">IFERROR(VLOOKUP(C52,'Calibrated Tools Register'!B:M,12,FALSE)-TODAY(),"")</f>
        <v/>
      </c>
      <c r="I52" s="3" t="str">
        <f t="shared" ca="1" si="1"/>
        <v/>
      </c>
      <c r="J52" s="3"/>
      <c r="K52" s="4"/>
      <c r="L52" s="3"/>
      <c r="M52" s="4"/>
      <c r="N52" s="4"/>
      <c r="O52" s="4"/>
    </row>
    <row r="53" spans="1:15">
      <c r="A53" s="3" t="str">
        <f t="shared" si="0"/>
        <v/>
      </c>
      <c r="B53" s="5"/>
      <c r="C53" s="23"/>
      <c r="D53" s="4" t="str">
        <f>IF(C53="","",IFERROR(VLOOKUP(C53,'Calibrated Tools Register'!B:C,2,FALSE),"NOT registered"))</f>
        <v/>
      </c>
      <c r="E53" s="5"/>
      <c r="F53" s="6"/>
      <c r="G53" s="5"/>
      <c r="H53" s="5" t="str">
        <f ca="1">IFERROR(VLOOKUP(C53,'Calibrated Tools Register'!B:M,12,FALSE)-TODAY(),"")</f>
        <v/>
      </c>
      <c r="I53" s="3" t="str">
        <f t="shared" ca="1" si="1"/>
        <v/>
      </c>
      <c r="J53" s="5"/>
      <c r="K53" s="6"/>
      <c r="L53" s="5"/>
      <c r="M53" s="6"/>
      <c r="N53" s="6"/>
      <c r="O53" s="6"/>
    </row>
    <row r="54" spans="1:15">
      <c r="A54" s="3" t="str">
        <f t="shared" si="0"/>
        <v/>
      </c>
      <c r="B54" s="3"/>
      <c r="C54" s="22"/>
      <c r="D54" s="4" t="str">
        <f>IF(C54="","",IFERROR(VLOOKUP(C54,'Calibrated Tools Register'!B:C,2,FALSE),"NOT registered"))</f>
        <v/>
      </c>
      <c r="E54" s="3"/>
      <c r="F54" s="4"/>
      <c r="G54" s="3"/>
      <c r="H54" s="3" t="str">
        <f ca="1">IFERROR(VLOOKUP(C54,'Calibrated Tools Register'!B:M,12,FALSE)-TODAY(),"")</f>
        <v/>
      </c>
      <c r="I54" s="3" t="str">
        <f t="shared" ca="1" si="1"/>
        <v/>
      </c>
      <c r="J54" s="3"/>
      <c r="K54" s="4"/>
      <c r="L54" s="3"/>
      <c r="M54" s="4"/>
      <c r="N54" s="4"/>
      <c r="O54" s="4"/>
    </row>
    <row r="55" spans="1:15">
      <c r="A55" s="3" t="str">
        <f t="shared" si="0"/>
        <v/>
      </c>
      <c r="B55" s="5"/>
      <c r="C55" s="23"/>
      <c r="D55" s="4" t="str">
        <f>IF(C55="","",IFERROR(VLOOKUP(C55,'Calibrated Tools Register'!B:C,2,FALSE),"NOT registered"))</f>
        <v/>
      </c>
      <c r="E55" s="5"/>
      <c r="F55" s="6"/>
      <c r="G55" s="5"/>
      <c r="H55" s="5" t="str">
        <f ca="1">IFERROR(VLOOKUP(C55,'Calibrated Tools Register'!B:M,12,FALSE)-TODAY(),"")</f>
        <v/>
      </c>
      <c r="I55" s="3" t="str">
        <f t="shared" ca="1" si="1"/>
        <v/>
      </c>
      <c r="J55" s="5"/>
      <c r="K55" s="6"/>
      <c r="L55" s="5"/>
      <c r="M55" s="6"/>
      <c r="N55" s="6"/>
      <c r="O55" s="6"/>
    </row>
    <row r="56" spans="1:15">
      <c r="A56" s="3" t="str">
        <f t="shared" si="0"/>
        <v/>
      </c>
      <c r="B56" s="3"/>
      <c r="C56" s="22"/>
      <c r="D56" s="4" t="str">
        <f>IF(C56="","",IFERROR(VLOOKUP(C56,'Calibrated Tools Register'!B:C,2,FALSE),"NOT registered"))</f>
        <v/>
      </c>
      <c r="E56" s="3"/>
      <c r="F56" s="4"/>
      <c r="G56" s="3"/>
      <c r="H56" s="3" t="str">
        <f ca="1">IFERROR(VLOOKUP(C56,'Calibrated Tools Register'!B:M,12,FALSE)-TODAY(),"")</f>
        <v/>
      </c>
      <c r="I56" s="3" t="str">
        <f t="shared" ca="1" si="1"/>
        <v/>
      </c>
      <c r="J56" s="3"/>
      <c r="K56" s="4"/>
      <c r="L56" s="3"/>
      <c r="M56" s="4"/>
      <c r="N56" s="4"/>
      <c r="O56" s="4"/>
    </row>
    <row r="57" spans="1:15">
      <c r="A57" s="3" t="str">
        <f t="shared" si="0"/>
        <v/>
      </c>
      <c r="B57" s="5"/>
      <c r="C57" s="23"/>
      <c r="D57" s="4" t="str">
        <f>IF(C57="","",IFERROR(VLOOKUP(C57,'Calibrated Tools Register'!B:C,2,FALSE),"NOT registered"))</f>
        <v/>
      </c>
      <c r="E57" s="5"/>
      <c r="F57" s="6"/>
      <c r="G57" s="5"/>
      <c r="H57" s="5" t="str">
        <f ca="1">IFERROR(VLOOKUP(C57,'Calibrated Tools Register'!B:M,12,FALSE)-TODAY(),"")</f>
        <v/>
      </c>
      <c r="I57" s="3" t="str">
        <f t="shared" ca="1" si="1"/>
        <v/>
      </c>
      <c r="J57" s="5"/>
      <c r="K57" s="6"/>
      <c r="L57" s="5"/>
      <c r="M57" s="6"/>
      <c r="N57" s="6"/>
      <c r="O57" s="6"/>
    </row>
    <row r="58" spans="1:15">
      <c r="A58" s="3" t="str">
        <f t="shared" si="0"/>
        <v/>
      </c>
      <c r="B58" s="3"/>
      <c r="C58" s="22"/>
      <c r="D58" s="4" t="str">
        <f>IF(C58="","",IFERROR(VLOOKUP(C58,'Calibrated Tools Register'!B:C,2,FALSE),"NOT registered"))</f>
        <v/>
      </c>
      <c r="E58" s="3"/>
      <c r="F58" s="4"/>
      <c r="G58" s="3"/>
      <c r="H58" s="3" t="str">
        <f ca="1">IFERROR(VLOOKUP(C58,'Calibrated Tools Register'!B:M,12,FALSE)-TODAY(),"")</f>
        <v/>
      </c>
      <c r="I58" s="3" t="str">
        <f t="shared" ca="1" si="1"/>
        <v/>
      </c>
      <c r="J58" s="3"/>
      <c r="K58" s="4"/>
      <c r="L58" s="3"/>
      <c r="M58" s="4"/>
      <c r="N58" s="4"/>
      <c r="O58" s="4"/>
    </row>
    <row r="59" spans="1:15">
      <c r="A59" s="3" t="str">
        <f t="shared" si="0"/>
        <v/>
      </c>
      <c r="B59" s="5"/>
      <c r="C59" s="23"/>
      <c r="D59" s="4" t="str">
        <f>IF(C59="","",IFERROR(VLOOKUP(C59,'Calibrated Tools Register'!B:C,2,FALSE),"NOT registered"))</f>
        <v/>
      </c>
      <c r="E59" s="5"/>
      <c r="F59" s="6"/>
      <c r="G59" s="5"/>
      <c r="H59" s="5" t="str">
        <f ca="1">IFERROR(VLOOKUP(C59,'Calibrated Tools Register'!B:M,12,FALSE)-TODAY(),"")</f>
        <v/>
      </c>
      <c r="I59" s="3" t="str">
        <f t="shared" ca="1" si="1"/>
        <v/>
      </c>
      <c r="J59" s="5"/>
      <c r="K59" s="6"/>
      <c r="L59" s="5"/>
      <c r="M59" s="6"/>
      <c r="N59" s="6"/>
      <c r="O59" s="6"/>
    </row>
    <row r="60" spans="1:15">
      <c r="A60" s="3" t="str">
        <f t="shared" si="0"/>
        <v/>
      </c>
      <c r="B60" s="3"/>
      <c r="C60" s="22"/>
      <c r="D60" s="4" t="str">
        <f>IF(C60="","",IFERROR(VLOOKUP(C60,'Calibrated Tools Register'!B:C,2,FALSE),"NOT registered"))</f>
        <v/>
      </c>
      <c r="E60" s="3"/>
      <c r="F60" s="4"/>
      <c r="G60" s="3"/>
      <c r="H60" s="3" t="str">
        <f ca="1">IFERROR(VLOOKUP(C60,'Calibrated Tools Register'!B:M,12,FALSE)-TODAY(),"")</f>
        <v/>
      </c>
      <c r="I60" s="3" t="str">
        <f t="shared" ca="1" si="1"/>
        <v/>
      </c>
      <c r="J60" s="3"/>
      <c r="K60" s="4"/>
      <c r="L60" s="3"/>
      <c r="M60" s="4"/>
      <c r="N60" s="4"/>
      <c r="O60" s="4"/>
    </row>
    <row r="61" spans="1:15">
      <c r="A61" s="3" t="str">
        <f t="shared" si="0"/>
        <v/>
      </c>
      <c r="B61" s="5"/>
      <c r="C61" s="23"/>
      <c r="D61" s="4" t="str">
        <f>IF(C61="","",IFERROR(VLOOKUP(C61,'Calibrated Tools Register'!B:C,2,FALSE),"NOT registered"))</f>
        <v/>
      </c>
      <c r="E61" s="5"/>
      <c r="F61" s="6"/>
      <c r="G61" s="5"/>
      <c r="H61" s="5" t="str">
        <f ca="1">IFERROR(VLOOKUP(C61,'Calibrated Tools Register'!B:M,12,FALSE)-TODAY(),"")</f>
        <v/>
      </c>
      <c r="I61" s="3" t="str">
        <f t="shared" ca="1" si="1"/>
        <v/>
      </c>
      <c r="J61" s="5"/>
      <c r="K61" s="6"/>
      <c r="L61" s="5"/>
      <c r="M61" s="6"/>
      <c r="N61" s="6"/>
      <c r="O61" s="6"/>
    </row>
    <row r="62" spans="1:15">
      <c r="A62" s="3" t="str">
        <f t="shared" si="0"/>
        <v/>
      </c>
      <c r="B62" s="3"/>
      <c r="C62" s="22"/>
      <c r="D62" s="4" t="str">
        <f>IF(C62="","",IFERROR(VLOOKUP(C62,'Calibrated Tools Register'!B:C,2,FALSE),"NOT registered"))</f>
        <v/>
      </c>
      <c r="E62" s="3"/>
      <c r="F62" s="4"/>
      <c r="G62" s="3"/>
      <c r="H62" s="3" t="str">
        <f ca="1">IFERROR(VLOOKUP(C62,'Calibrated Tools Register'!B:M,12,FALSE)-TODAY(),"")</f>
        <v/>
      </c>
      <c r="I62" s="3" t="str">
        <f t="shared" ca="1" si="1"/>
        <v/>
      </c>
      <c r="J62" s="3"/>
      <c r="K62" s="4"/>
      <c r="L62" s="3"/>
      <c r="M62" s="4"/>
      <c r="N62" s="4"/>
      <c r="O62" s="4"/>
    </row>
    <row r="63" spans="1:15">
      <c r="A63" s="3" t="str">
        <f t="shared" si="0"/>
        <v/>
      </c>
      <c r="B63" s="5"/>
      <c r="C63" s="23"/>
      <c r="D63" s="4" t="str">
        <f>IF(C63="","",IFERROR(VLOOKUP(C63,'Calibrated Tools Register'!B:C,2,FALSE),"NOT registered"))</f>
        <v/>
      </c>
      <c r="E63" s="5"/>
      <c r="F63" s="6"/>
      <c r="G63" s="5"/>
      <c r="H63" s="5" t="str">
        <f ca="1">IFERROR(VLOOKUP(C63,'Calibrated Tools Register'!B:M,12,FALSE)-TODAY(),"")</f>
        <v/>
      </c>
      <c r="I63" s="3" t="str">
        <f t="shared" ca="1" si="1"/>
        <v/>
      </c>
      <c r="J63" s="5"/>
      <c r="K63" s="6"/>
      <c r="L63" s="5"/>
      <c r="M63" s="6"/>
      <c r="N63" s="6"/>
      <c r="O63" s="6"/>
    </row>
    <row r="64" spans="1:15">
      <c r="A64" s="3" t="str">
        <f t="shared" si="0"/>
        <v/>
      </c>
      <c r="B64" s="3"/>
      <c r="C64" s="22"/>
      <c r="D64" s="4" t="str">
        <f>IF(C64="","",IFERROR(VLOOKUP(C64,'Calibrated Tools Register'!B:C,2,FALSE),"NOT registered"))</f>
        <v/>
      </c>
      <c r="E64" s="3"/>
      <c r="F64" s="4"/>
      <c r="G64" s="3"/>
      <c r="H64" s="3" t="str">
        <f ca="1">IFERROR(VLOOKUP(C64,'Calibrated Tools Register'!B:M,12,FALSE)-TODAY(),"")</f>
        <v/>
      </c>
      <c r="I64" s="3" t="str">
        <f t="shared" ca="1" si="1"/>
        <v/>
      </c>
      <c r="J64" s="3"/>
      <c r="K64" s="4"/>
      <c r="L64" s="3"/>
      <c r="M64" s="4"/>
      <c r="N64" s="4"/>
      <c r="O64" s="4"/>
    </row>
    <row r="65" spans="1:15">
      <c r="A65" s="3" t="str">
        <f t="shared" si="0"/>
        <v/>
      </c>
      <c r="B65" s="5"/>
      <c r="C65" s="23"/>
      <c r="D65" s="4" t="str">
        <f>IF(C65="","",IFERROR(VLOOKUP(C65,'Calibrated Tools Register'!B:C,2,FALSE),"NOT registered"))</f>
        <v/>
      </c>
      <c r="E65" s="5"/>
      <c r="F65" s="6"/>
      <c r="G65" s="5"/>
      <c r="H65" s="5" t="str">
        <f ca="1">IFERROR(VLOOKUP(C65,'Calibrated Tools Register'!B:M,12,FALSE)-TODAY(),"")</f>
        <v/>
      </c>
      <c r="I65" s="3" t="str">
        <f t="shared" ca="1" si="1"/>
        <v/>
      </c>
      <c r="J65" s="5"/>
      <c r="K65" s="6"/>
      <c r="L65" s="5"/>
      <c r="M65" s="6"/>
      <c r="N65" s="6"/>
      <c r="O65" s="6"/>
    </row>
    <row r="66" spans="1:15">
      <c r="A66" s="3" t="str">
        <f t="shared" si="0"/>
        <v/>
      </c>
      <c r="B66" s="3"/>
      <c r="C66" s="22"/>
      <c r="D66" s="4" t="str">
        <f>IF(C66="","",IFERROR(VLOOKUP(C66,'Calibrated Tools Register'!B:C,2,FALSE),"NOT registered"))</f>
        <v/>
      </c>
      <c r="E66" s="3"/>
      <c r="F66" s="4"/>
      <c r="G66" s="3"/>
      <c r="H66" s="3" t="str">
        <f ca="1">IFERROR(VLOOKUP(C66,'Calibrated Tools Register'!B:M,12,FALSE)-TODAY(),"")</f>
        <v/>
      </c>
      <c r="I66" s="3" t="str">
        <f t="shared" ca="1" si="1"/>
        <v/>
      </c>
      <c r="J66" s="3"/>
      <c r="K66" s="4"/>
      <c r="L66" s="3"/>
      <c r="M66" s="4"/>
      <c r="N66" s="4"/>
      <c r="O66" s="4"/>
    </row>
    <row r="67" spans="1:15">
      <c r="A67" s="3" t="str">
        <f t="shared" si="0"/>
        <v/>
      </c>
      <c r="B67" s="5"/>
      <c r="C67" s="23"/>
      <c r="D67" s="4" t="str">
        <f>IF(C67="","",IFERROR(VLOOKUP(C67,'Calibrated Tools Register'!B:C,2,FALSE),"NOT registered"))</f>
        <v/>
      </c>
      <c r="E67" s="5"/>
      <c r="F67" s="6"/>
      <c r="G67" s="5"/>
      <c r="H67" s="5" t="str">
        <f ca="1">IFERROR(VLOOKUP(C67,'Calibrated Tools Register'!B:M,12,FALSE)-TODAY(),"")</f>
        <v/>
      </c>
      <c r="I67" s="3" t="str">
        <f t="shared" ca="1" si="1"/>
        <v/>
      </c>
      <c r="J67" s="5"/>
      <c r="K67" s="6"/>
      <c r="L67" s="5"/>
      <c r="M67" s="6"/>
      <c r="N67" s="6"/>
      <c r="O67" s="6"/>
    </row>
    <row r="68" spans="1:15">
      <c r="A68" s="3" t="str">
        <f t="shared" ref="A68:A131" si="2">IF(C68="","",ROW(C68)-3)</f>
        <v/>
      </c>
      <c r="B68" s="3"/>
      <c r="C68" s="22"/>
      <c r="D68" s="4" t="str">
        <f>IF(C68="","",IFERROR(VLOOKUP(C68,'Calibrated Tools Register'!B:C,2,FALSE),"NOT registered"))</f>
        <v/>
      </c>
      <c r="E68" s="3"/>
      <c r="F68" s="4"/>
      <c r="G68" s="3"/>
      <c r="H68" s="3" t="str">
        <f ca="1">IFERROR(VLOOKUP(C68,'Calibrated Tools Register'!B:M,12,FALSE)-TODAY(),"")</f>
        <v/>
      </c>
      <c r="I68" s="3" t="str">
        <f t="shared" ca="1" si="1"/>
        <v/>
      </c>
      <c r="J68" s="3"/>
      <c r="K68" s="4"/>
      <c r="L68" s="3"/>
      <c r="M68" s="4"/>
      <c r="N68" s="4"/>
      <c r="O68" s="4"/>
    </row>
    <row r="69" spans="1:15">
      <c r="A69" s="3" t="str">
        <f t="shared" si="2"/>
        <v/>
      </c>
      <c r="B69" s="5"/>
      <c r="C69" s="23"/>
      <c r="D69" s="4" t="str">
        <f>IF(C69="","",IFERROR(VLOOKUP(C69,'Calibrated Tools Register'!B:C,2,FALSE),"NOT registered"))</f>
        <v/>
      </c>
      <c r="E69" s="5"/>
      <c r="F69" s="6"/>
      <c r="G69" s="5"/>
      <c r="H69" s="5" t="str">
        <f ca="1">IFERROR(VLOOKUP(C69,'Calibrated Tools Register'!B:M,12,FALSE)-TODAY(),"")</f>
        <v/>
      </c>
      <c r="I69" s="3" t="str">
        <f t="shared" ref="I69:I132" ca="1" si="3">IF(H69="","",IF(H69&lt;=0,"Urgent",IF(H69&lt;=30,"High",IF(H69&lt;=45,"Medium","Low"))))</f>
        <v/>
      </c>
      <c r="J69" s="5"/>
      <c r="K69" s="6"/>
      <c r="L69" s="5"/>
      <c r="M69" s="6"/>
      <c r="N69" s="6"/>
      <c r="O69" s="6"/>
    </row>
    <row r="70" spans="1:15">
      <c r="A70" s="3" t="str">
        <f t="shared" si="2"/>
        <v/>
      </c>
      <c r="B70" s="3"/>
      <c r="C70" s="22"/>
      <c r="D70" s="4" t="str">
        <f>IF(C70="","",IFERROR(VLOOKUP(C70,'Calibrated Tools Register'!B:C,2,FALSE),"NOT registered"))</f>
        <v/>
      </c>
      <c r="E70" s="3"/>
      <c r="F70" s="4"/>
      <c r="G70" s="3"/>
      <c r="H70" s="3" t="str">
        <f ca="1">IFERROR(VLOOKUP(C70,'Calibrated Tools Register'!B:M,12,FALSE)-TODAY(),"")</f>
        <v/>
      </c>
      <c r="I70" s="3" t="str">
        <f t="shared" ca="1" si="3"/>
        <v/>
      </c>
      <c r="J70" s="3"/>
      <c r="K70" s="4"/>
      <c r="L70" s="3"/>
      <c r="M70" s="4"/>
      <c r="N70" s="4"/>
      <c r="O70" s="4"/>
    </row>
    <row r="71" spans="1:15">
      <c r="A71" s="3" t="str">
        <f t="shared" si="2"/>
        <v/>
      </c>
      <c r="B71" s="5"/>
      <c r="C71" s="23"/>
      <c r="D71" s="4" t="str">
        <f>IF(C71="","",IFERROR(VLOOKUP(C71,'Calibrated Tools Register'!B:C,2,FALSE),"NOT registered"))</f>
        <v/>
      </c>
      <c r="E71" s="5"/>
      <c r="F71" s="6"/>
      <c r="G71" s="5"/>
      <c r="H71" s="5" t="str">
        <f ca="1">IFERROR(VLOOKUP(C71,'Calibrated Tools Register'!B:M,12,FALSE)-TODAY(),"")</f>
        <v/>
      </c>
      <c r="I71" s="3" t="str">
        <f t="shared" ca="1" si="3"/>
        <v/>
      </c>
      <c r="J71" s="5"/>
      <c r="K71" s="6"/>
      <c r="L71" s="5"/>
      <c r="M71" s="6"/>
      <c r="N71" s="6"/>
      <c r="O71" s="6"/>
    </row>
    <row r="72" spans="1:15">
      <c r="A72" s="3" t="str">
        <f t="shared" si="2"/>
        <v/>
      </c>
      <c r="B72" s="3"/>
      <c r="C72" s="22"/>
      <c r="D72" s="4" t="str">
        <f>IF(C72="","",IFERROR(VLOOKUP(C72,'Calibrated Tools Register'!B:C,2,FALSE),"NOT registered"))</f>
        <v/>
      </c>
      <c r="E72" s="3"/>
      <c r="F72" s="4"/>
      <c r="G72" s="3"/>
      <c r="H72" s="3" t="str">
        <f ca="1">IFERROR(VLOOKUP(C72,'Calibrated Tools Register'!B:M,12,FALSE)-TODAY(),"")</f>
        <v/>
      </c>
      <c r="I72" s="3" t="str">
        <f t="shared" ca="1" si="3"/>
        <v/>
      </c>
      <c r="J72" s="3"/>
      <c r="K72" s="4"/>
      <c r="L72" s="3"/>
      <c r="M72" s="4"/>
      <c r="N72" s="4"/>
      <c r="O72" s="4"/>
    </row>
    <row r="73" spans="1:15">
      <c r="A73" s="3" t="str">
        <f t="shared" si="2"/>
        <v/>
      </c>
      <c r="B73" s="5"/>
      <c r="C73" s="23"/>
      <c r="D73" s="4" t="str">
        <f>IF(C73="","",IFERROR(VLOOKUP(C73,'Calibrated Tools Register'!B:C,2,FALSE),"NOT registered"))</f>
        <v/>
      </c>
      <c r="E73" s="5"/>
      <c r="F73" s="6"/>
      <c r="G73" s="5"/>
      <c r="H73" s="5" t="str">
        <f ca="1">IFERROR(VLOOKUP(C73,'Calibrated Tools Register'!B:M,12,FALSE)-TODAY(),"")</f>
        <v/>
      </c>
      <c r="I73" s="3" t="str">
        <f t="shared" ca="1" si="3"/>
        <v/>
      </c>
      <c r="J73" s="5"/>
      <c r="K73" s="6"/>
      <c r="L73" s="5"/>
      <c r="M73" s="6"/>
      <c r="N73" s="6"/>
      <c r="O73" s="6"/>
    </row>
    <row r="74" spans="1:15">
      <c r="A74" s="3" t="str">
        <f t="shared" si="2"/>
        <v/>
      </c>
      <c r="B74" s="3"/>
      <c r="C74" s="22"/>
      <c r="D74" s="4" t="str">
        <f>IF(C74="","",IFERROR(VLOOKUP(C74,'Calibrated Tools Register'!B:C,2,FALSE),"NOT registered"))</f>
        <v/>
      </c>
      <c r="E74" s="3"/>
      <c r="F74" s="4"/>
      <c r="G74" s="3"/>
      <c r="H74" s="3" t="str">
        <f ca="1">IFERROR(VLOOKUP(C74,'Calibrated Tools Register'!B:M,12,FALSE)-TODAY(),"")</f>
        <v/>
      </c>
      <c r="I74" s="3" t="str">
        <f t="shared" ca="1" si="3"/>
        <v/>
      </c>
      <c r="J74" s="3"/>
      <c r="K74" s="4"/>
      <c r="L74" s="3"/>
      <c r="M74" s="4"/>
      <c r="N74" s="4"/>
      <c r="O74" s="4"/>
    </row>
    <row r="75" spans="1:15">
      <c r="A75" s="3" t="str">
        <f t="shared" si="2"/>
        <v/>
      </c>
      <c r="B75" s="5"/>
      <c r="C75" s="23"/>
      <c r="D75" s="4" t="str">
        <f>IF(C75="","",IFERROR(VLOOKUP(C75,'Calibrated Tools Register'!B:C,2,FALSE),"NOT registered"))</f>
        <v/>
      </c>
      <c r="E75" s="5"/>
      <c r="F75" s="6"/>
      <c r="G75" s="5"/>
      <c r="H75" s="5" t="str">
        <f ca="1">IFERROR(VLOOKUP(C75,'Calibrated Tools Register'!B:M,12,FALSE)-TODAY(),"")</f>
        <v/>
      </c>
      <c r="I75" s="3" t="str">
        <f t="shared" ca="1" si="3"/>
        <v/>
      </c>
      <c r="J75" s="5"/>
      <c r="K75" s="6"/>
      <c r="L75" s="5"/>
      <c r="M75" s="6"/>
      <c r="N75" s="6"/>
      <c r="O75" s="6"/>
    </row>
    <row r="76" spans="1:15">
      <c r="A76" s="3" t="str">
        <f t="shared" si="2"/>
        <v/>
      </c>
      <c r="B76" s="3"/>
      <c r="C76" s="22"/>
      <c r="D76" s="4" t="str">
        <f>IF(C76="","",IFERROR(VLOOKUP(C76,'Calibrated Tools Register'!B:C,2,FALSE),"NOT registered"))</f>
        <v/>
      </c>
      <c r="E76" s="3"/>
      <c r="F76" s="4"/>
      <c r="G76" s="3"/>
      <c r="H76" s="3" t="str">
        <f ca="1">IFERROR(VLOOKUP(C76,'Calibrated Tools Register'!B:M,12,FALSE)-TODAY(),"")</f>
        <v/>
      </c>
      <c r="I76" s="3" t="str">
        <f t="shared" ca="1" si="3"/>
        <v/>
      </c>
      <c r="J76" s="3"/>
      <c r="K76" s="4"/>
      <c r="L76" s="3"/>
      <c r="M76" s="4"/>
      <c r="N76" s="4"/>
      <c r="O76" s="4"/>
    </row>
    <row r="77" spans="1:15">
      <c r="A77" s="3" t="str">
        <f t="shared" si="2"/>
        <v/>
      </c>
      <c r="B77" s="5"/>
      <c r="C77" s="23"/>
      <c r="D77" s="4" t="str">
        <f>IF(C77="","",IFERROR(VLOOKUP(C77,'Calibrated Tools Register'!B:C,2,FALSE),"NOT registered"))</f>
        <v/>
      </c>
      <c r="E77" s="5"/>
      <c r="F77" s="6"/>
      <c r="G77" s="5"/>
      <c r="H77" s="5" t="str">
        <f ca="1">IFERROR(VLOOKUP(C77,'Calibrated Tools Register'!B:M,12,FALSE)-TODAY(),"")</f>
        <v/>
      </c>
      <c r="I77" s="3" t="str">
        <f t="shared" ca="1" si="3"/>
        <v/>
      </c>
      <c r="J77" s="5"/>
      <c r="K77" s="6"/>
      <c r="L77" s="5"/>
      <c r="M77" s="6"/>
      <c r="N77" s="6"/>
      <c r="O77" s="6"/>
    </row>
    <row r="78" spans="1:15">
      <c r="A78" s="3" t="str">
        <f t="shared" si="2"/>
        <v/>
      </c>
      <c r="B78" s="3"/>
      <c r="C78" s="22"/>
      <c r="D78" s="4" t="str">
        <f>IF(C78="","",IFERROR(VLOOKUP(C78,'Calibrated Tools Register'!B:C,2,FALSE),"NOT registered"))</f>
        <v/>
      </c>
      <c r="E78" s="3"/>
      <c r="F78" s="4"/>
      <c r="G78" s="3"/>
      <c r="H78" s="3" t="str">
        <f ca="1">IFERROR(VLOOKUP(C78,'Calibrated Tools Register'!B:M,12,FALSE)-TODAY(),"")</f>
        <v/>
      </c>
      <c r="I78" s="3" t="str">
        <f t="shared" ca="1" si="3"/>
        <v/>
      </c>
      <c r="J78" s="3"/>
      <c r="K78" s="4"/>
      <c r="L78" s="3"/>
      <c r="M78" s="4"/>
      <c r="N78" s="4"/>
      <c r="O78" s="4"/>
    </row>
    <row r="79" spans="1:15">
      <c r="A79" s="3" t="str">
        <f t="shared" si="2"/>
        <v/>
      </c>
      <c r="B79" s="5"/>
      <c r="C79" s="23"/>
      <c r="D79" s="4" t="str">
        <f>IF(C79="","",IFERROR(VLOOKUP(C79,'Calibrated Tools Register'!B:C,2,FALSE),"NOT registered"))</f>
        <v/>
      </c>
      <c r="E79" s="5"/>
      <c r="F79" s="6"/>
      <c r="G79" s="5"/>
      <c r="H79" s="5" t="str">
        <f ca="1">IFERROR(VLOOKUP(C79,'Calibrated Tools Register'!B:M,12,FALSE)-TODAY(),"")</f>
        <v/>
      </c>
      <c r="I79" s="3" t="str">
        <f t="shared" ca="1" si="3"/>
        <v/>
      </c>
      <c r="J79" s="5"/>
      <c r="K79" s="6"/>
      <c r="L79" s="5"/>
      <c r="M79" s="6"/>
      <c r="N79" s="6"/>
      <c r="O79" s="6"/>
    </row>
    <row r="80" spans="1:15">
      <c r="A80" s="3" t="str">
        <f t="shared" si="2"/>
        <v/>
      </c>
      <c r="B80" s="3"/>
      <c r="C80" s="22"/>
      <c r="D80" s="4" t="str">
        <f>IF(C80="","",IFERROR(VLOOKUP(C80,'Calibrated Tools Register'!B:C,2,FALSE),"NOT registered"))</f>
        <v/>
      </c>
      <c r="E80" s="3"/>
      <c r="F80" s="4"/>
      <c r="G80" s="3"/>
      <c r="H80" s="3" t="str">
        <f ca="1">IFERROR(VLOOKUP(C80,'Calibrated Tools Register'!B:M,12,FALSE)-TODAY(),"")</f>
        <v/>
      </c>
      <c r="I80" s="3" t="str">
        <f t="shared" ca="1" si="3"/>
        <v/>
      </c>
      <c r="J80" s="3"/>
      <c r="K80" s="4"/>
      <c r="L80" s="3"/>
      <c r="M80" s="4"/>
      <c r="N80" s="4"/>
      <c r="O80" s="4"/>
    </row>
    <row r="81" spans="1:15">
      <c r="A81" s="3" t="str">
        <f t="shared" si="2"/>
        <v/>
      </c>
      <c r="B81" s="5"/>
      <c r="C81" s="23"/>
      <c r="D81" s="4" t="str">
        <f>IF(C81="","",IFERROR(VLOOKUP(C81,'Calibrated Tools Register'!B:C,2,FALSE),"NOT registered"))</f>
        <v/>
      </c>
      <c r="E81" s="5"/>
      <c r="F81" s="6"/>
      <c r="G81" s="5"/>
      <c r="H81" s="5" t="str">
        <f ca="1">IFERROR(VLOOKUP(C81,'Calibrated Tools Register'!B:M,12,FALSE)-TODAY(),"")</f>
        <v/>
      </c>
      <c r="I81" s="3" t="str">
        <f t="shared" ca="1" si="3"/>
        <v/>
      </c>
      <c r="J81" s="5"/>
      <c r="K81" s="6"/>
      <c r="L81" s="5"/>
      <c r="M81" s="6"/>
      <c r="N81" s="6"/>
      <c r="O81" s="6"/>
    </row>
    <row r="82" spans="1:15">
      <c r="A82" s="3" t="str">
        <f t="shared" si="2"/>
        <v/>
      </c>
      <c r="B82" s="3"/>
      <c r="C82" s="22"/>
      <c r="D82" s="4" t="str">
        <f>IF(C82="","",IFERROR(VLOOKUP(C82,'Calibrated Tools Register'!B:C,2,FALSE),"NOT registered"))</f>
        <v/>
      </c>
      <c r="E82" s="3"/>
      <c r="F82" s="4"/>
      <c r="G82" s="3"/>
      <c r="H82" s="3" t="str">
        <f ca="1">IFERROR(VLOOKUP(C82,'Calibrated Tools Register'!B:M,12,FALSE)-TODAY(),"")</f>
        <v/>
      </c>
      <c r="I82" s="3" t="str">
        <f t="shared" ca="1" si="3"/>
        <v/>
      </c>
      <c r="J82" s="3"/>
      <c r="K82" s="4"/>
      <c r="L82" s="3"/>
      <c r="M82" s="4"/>
      <c r="N82" s="4"/>
      <c r="O82" s="4"/>
    </row>
    <row r="83" spans="1:15">
      <c r="A83" s="3" t="str">
        <f t="shared" si="2"/>
        <v/>
      </c>
      <c r="B83" s="5"/>
      <c r="C83" s="23"/>
      <c r="D83" s="4" t="str">
        <f>IF(C83="","",IFERROR(VLOOKUP(C83,'Calibrated Tools Register'!B:C,2,FALSE),"NOT registered"))</f>
        <v/>
      </c>
      <c r="E83" s="5"/>
      <c r="F83" s="6"/>
      <c r="G83" s="5"/>
      <c r="H83" s="5" t="str">
        <f ca="1">IFERROR(VLOOKUP(C83,'Calibrated Tools Register'!B:M,12,FALSE)-TODAY(),"")</f>
        <v/>
      </c>
      <c r="I83" s="3" t="str">
        <f t="shared" ca="1" si="3"/>
        <v/>
      </c>
      <c r="J83" s="5"/>
      <c r="K83" s="6"/>
      <c r="L83" s="5"/>
      <c r="M83" s="6"/>
      <c r="N83" s="6"/>
      <c r="O83" s="6"/>
    </row>
    <row r="84" spans="1:15">
      <c r="A84" s="3" t="str">
        <f t="shared" si="2"/>
        <v/>
      </c>
      <c r="B84" s="3"/>
      <c r="C84" s="22"/>
      <c r="D84" s="4" t="str">
        <f>IF(C84="","",IFERROR(VLOOKUP(C84,'Calibrated Tools Register'!B:C,2,FALSE),"NOT registered"))</f>
        <v/>
      </c>
      <c r="E84" s="3"/>
      <c r="F84" s="4"/>
      <c r="G84" s="3"/>
      <c r="H84" s="3" t="str">
        <f ca="1">IFERROR(VLOOKUP(C84,'Calibrated Tools Register'!B:M,12,FALSE)-TODAY(),"")</f>
        <v/>
      </c>
      <c r="I84" s="3" t="str">
        <f t="shared" ca="1" si="3"/>
        <v/>
      </c>
      <c r="J84" s="3"/>
      <c r="K84" s="4"/>
      <c r="L84" s="3"/>
      <c r="M84" s="4"/>
      <c r="N84" s="4"/>
      <c r="O84" s="4"/>
    </row>
    <row r="85" spans="1:15">
      <c r="A85" s="3" t="str">
        <f t="shared" si="2"/>
        <v/>
      </c>
      <c r="B85" s="5"/>
      <c r="C85" s="23"/>
      <c r="D85" s="4" t="str">
        <f>IF(C85="","",IFERROR(VLOOKUP(C85,'Calibrated Tools Register'!B:C,2,FALSE),"NOT registered"))</f>
        <v/>
      </c>
      <c r="E85" s="5"/>
      <c r="F85" s="6"/>
      <c r="G85" s="5"/>
      <c r="H85" s="5" t="str">
        <f ca="1">IFERROR(VLOOKUP(C85,'Calibrated Tools Register'!B:M,12,FALSE)-TODAY(),"")</f>
        <v/>
      </c>
      <c r="I85" s="3" t="str">
        <f t="shared" ca="1" si="3"/>
        <v/>
      </c>
      <c r="J85" s="5"/>
      <c r="K85" s="6"/>
      <c r="L85" s="5"/>
      <c r="M85" s="6"/>
      <c r="N85" s="6"/>
      <c r="O85" s="6"/>
    </row>
    <row r="86" spans="1:15">
      <c r="A86" s="3" t="str">
        <f t="shared" si="2"/>
        <v/>
      </c>
      <c r="B86" s="3"/>
      <c r="C86" s="22"/>
      <c r="D86" s="4" t="str">
        <f>IF(C86="","",IFERROR(VLOOKUP(C86,'Calibrated Tools Register'!B:C,2,FALSE),"NOT registered"))</f>
        <v/>
      </c>
      <c r="E86" s="3"/>
      <c r="F86" s="4"/>
      <c r="G86" s="3"/>
      <c r="H86" s="3" t="str">
        <f ca="1">IFERROR(VLOOKUP(C86,'Calibrated Tools Register'!B:M,12,FALSE)-TODAY(),"")</f>
        <v/>
      </c>
      <c r="I86" s="3" t="str">
        <f t="shared" ca="1" si="3"/>
        <v/>
      </c>
      <c r="J86" s="3"/>
      <c r="K86" s="4"/>
      <c r="L86" s="3"/>
      <c r="M86" s="4"/>
      <c r="N86" s="4"/>
      <c r="O86" s="4"/>
    </row>
    <row r="87" spans="1:15">
      <c r="A87" s="3" t="str">
        <f t="shared" si="2"/>
        <v/>
      </c>
      <c r="B87" s="5"/>
      <c r="C87" s="23"/>
      <c r="D87" s="4" t="str">
        <f>IF(C87="","",IFERROR(VLOOKUP(C87,'Calibrated Tools Register'!B:C,2,FALSE),"NOT registered"))</f>
        <v/>
      </c>
      <c r="E87" s="5"/>
      <c r="F87" s="6"/>
      <c r="G87" s="5"/>
      <c r="H87" s="5" t="str">
        <f ca="1">IFERROR(VLOOKUP(C87,'Calibrated Tools Register'!B:M,12,FALSE)-TODAY(),"")</f>
        <v/>
      </c>
      <c r="I87" s="3" t="str">
        <f t="shared" ca="1" si="3"/>
        <v/>
      </c>
      <c r="J87" s="5"/>
      <c r="K87" s="6"/>
      <c r="L87" s="5"/>
      <c r="M87" s="6"/>
      <c r="N87" s="6"/>
      <c r="O87" s="6"/>
    </row>
    <row r="88" spans="1:15">
      <c r="A88" s="3" t="str">
        <f t="shared" si="2"/>
        <v/>
      </c>
      <c r="B88" s="3"/>
      <c r="C88" s="22"/>
      <c r="D88" s="4" t="str">
        <f>IF(C88="","",IFERROR(VLOOKUP(C88,'Calibrated Tools Register'!B:C,2,FALSE),"NOT registered"))</f>
        <v/>
      </c>
      <c r="E88" s="3"/>
      <c r="F88" s="4"/>
      <c r="G88" s="3"/>
      <c r="H88" s="3" t="str">
        <f ca="1">IFERROR(VLOOKUP(C88,'Calibrated Tools Register'!B:M,12,FALSE)-TODAY(),"")</f>
        <v/>
      </c>
      <c r="I88" s="3" t="str">
        <f t="shared" ca="1" si="3"/>
        <v/>
      </c>
      <c r="J88" s="3"/>
      <c r="K88" s="4"/>
      <c r="L88" s="3"/>
      <c r="M88" s="4"/>
      <c r="N88" s="4"/>
      <c r="O88" s="4"/>
    </row>
    <row r="89" spans="1:15">
      <c r="A89" s="3" t="str">
        <f t="shared" si="2"/>
        <v/>
      </c>
      <c r="B89" s="5"/>
      <c r="C89" s="23"/>
      <c r="D89" s="4" t="str">
        <f>IF(C89="","",IFERROR(VLOOKUP(C89,'Calibrated Tools Register'!B:C,2,FALSE),"NOT registered"))</f>
        <v/>
      </c>
      <c r="E89" s="5"/>
      <c r="F89" s="6"/>
      <c r="G89" s="5"/>
      <c r="H89" s="5" t="str">
        <f ca="1">IFERROR(VLOOKUP(C89,'Calibrated Tools Register'!B:M,12,FALSE)-TODAY(),"")</f>
        <v/>
      </c>
      <c r="I89" s="3" t="str">
        <f t="shared" ca="1" si="3"/>
        <v/>
      </c>
      <c r="J89" s="5"/>
      <c r="K89" s="6"/>
      <c r="L89" s="5"/>
      <c r="M89" s="6"/>
      <c r="N89" s="6"/>
      <c r="O89" s="6"/>
    </row>
    <row r="90" spans="1:15">
      <c r="A90" s="3" t="str">
        <f t="shared" si="2"/>
        <v/>
      </c>
      <c r="B90" s="3"/>
      <c r="C90" s="22"/>
      <c r="D90" s="4" t="str">
        <f>IF(C90="","",IFERROR(VLOOKUP(C90,'Calibrated Tools Register'!B:C,2,FALSE),"NOT registered"))</f>
        <v/>
      </c>
      <c r="E90" s="3"/>
      <c r="F90" s="4"/>
      <c r="G90" s="3"/>
      <c r="H90" s="3" t="str">
        <f ca="1">IFERROR(VLOOKUP(C90,'Calibrated Tools Register'!B:M,12,FALSE)-TODAY(),"")</f>
        <v/>
      </c>
      <c r="I90" s="3" t="str">
        <f t="shared" ca="1" si="3"/>
        <v/>
      </c>
      <c r="J90" s="3"/>
      <c r="K90" s="4"/>
      <c r="L90" s="3"/>
      <c r="M90" s="4"/>
      <c r="N90" s="4"/>
      <c r="O90" s="4"/>
    </row>
    <row r="91" spans="1:15">
      <c r="A91" s="3" t="str">
        <f t="shared" si="2"/>
        <v/>
      </c>
      <c r="B91" s="5"/>
      <c r="C91" s="23"/>
      <c r="D91" s="4" t="str">
        <f>IF(C91="","",IFERROR(VLOOKUP(C91,'Calibrated Tools Register'!B:C,2,FALSE),"NOT registered"))</f>
        <v/>
      </c>
      <c r="E91" s="5"/>
      <c r="F91" s="6"/>
      <c r="G91" s="5"/>
      <c r="H91" s="5" t="str">
        <f ca="1">IFERROR(VLOOKUP(C91,'Calibrated Tools Register'!B:M,12,FALSE)-TODAY(),"")</f>
        <v/>
      </c>
      <c r="I91" s="3" t="str">
        <f t="shared" ca="1" si="3"/>
        <v/>
      </c>
      <c r="J91" s="5"/>
      <c r="K91" s="6"/>
      <c r="L91" s="5"/>
      <c r="M91" s="6"/>
      <c r="N91" s="6"/>
      <c r="O91" s="6"/>
    </row>
    <row r="92" spans="1:15">
      <c r="A92" s="3" t="str">
        <f t="shared" si="2"/>
        <v/>
      </c>
      <c r="B92" s="3"/>
      <c r="C92" s="22"/>
      <c r="D92" s="4" t="str">
        <f>IF(C92="","",IFERROR(VLOOKUP(C92,'Calibrated Tools Register'!B:C,2,FALSE),"NOT registered"))</f>
        <v/>
      </c>
      <c r="E92" s="3"/>
      <c r="F92" s="4"/>
      <c r="G92" s="3"/>
      <c r="H92" s="3" t="str">
        <f ca="1">IFERROR(VLOOKUP(C92,'Calibrated Tools Register'!B:M,12,FALSE)-TODAY(),"")</f>
        <v/>
      </c>
      <c r="I92" s="3" t="str">
        <f t="shared" ca="1" si="3"/>
        <v/>
      </c>
      <c r="J92" s="3"/>
      <c r="K92" s="4"/>
      <c r="L92" s="3"/>
      <c r="M92" s="4"/>
      <c r="N92" s="4"/>
      <c r="O92" s="4"/>
    </row>
    <row r="93" spans="1:15">
      <c r="A93" s="3" t="str">
        <f t="shared" si="2"/>
        <v/>
      </c>
      <c r="B93" s="5"/>
      <c r="C93" s="23"/>
      <c r="D93" s="4" t="str">
        <f>IF(C93="","",IFERROR(VLOOKUP(C93,'Calibrated Tools Register'!B:C,2,FALSE),"NOT registered"))</f>
        <v/>
      </c>
      <c r="E93" s="5"/>
      <c r="F93" s="6"/>
      <c r="G93" s="5"/>
      <c r="H93" s="5" t="str">
        <f ca="1">IFERROR(VLOOKUP(C93,'Calibrated Tools Register'!B:M,12,FALSE)-TODAY(),"")</f>
        <v/>
      </c>
      <c r="I93" s="3" t="str">
        <f t="shared" ca="1" si="3"/>
        <v/>
      </c>
      <c r="J93" s="5"/>
      <c r="K93" s="6"/>
      <c r="L93" s="5"/>
      <c r="M93" s="6"/>
      <c r="N93" s="6"/>
      <c r="O93" s="6"/>
    </row>
    <row r="94" spans="1:15">
      <c r="A94" s="3" t="str">
        <f t="shared" si="2"/>
        <v/>
      </c>
      <c r="B94" s="3"/>
      <c r="C94" s="22"/>
      <c r="D94" s="4" t="str">
        <f>IF(C94="","",IFERROR(VLOOKUP(C94,'Calibrated Tools Register'!B:C,2,FALSE),"NOT registered"))</f>
        <v/>
      </c>
      <c r="E94" s="3"/>
      <c r="F94" s="4"/>
      <c r="G94" s="3"/>
      <c r="H94" s="3" t="str">
        <f ca="1">IFERROR(VLOOKUP(C94,'Calibrated Tools Register'!B:M,12,FALSE)-TODAY(),"")</f>
        <v/>
      </c>
      <c r="I94" s="3" t="str">
        <f t="shared" ca="1" si="3"/>
        <v/>
      </c>
      <c r="J94" s="3"/>
      <c r="K94" s="4"/>
      <c r="L94" s="3"/>
      <c r="M94" s="4"/>
      <c r="N94" s="4"/>
      <c r="O94" s="4"/>
    </row>
    <row r="95" spans="1:15">
      <c r="A95" s="3" t="str">
        <f t="shared" si="2"/>
        <v/>
      </c>
      <c r="B95" s="5"/>
      <c r="C95" s="23"/>
      <c r="D95" s="4" t="str">
        <f>IF(C95="","",IFERROR(VLOOKUP(C95,'Calibrated Tools Register'!B:C,2,FALSE),"NOT registered"))</f>
        <v/>
      </c>
      <c r="E95" s="5"/>
      <c r="F95" s="6"/>
      <c r="G95" s="5"/>
      <c r="H95" s="5" t="str">
        <f ca="1">IFERROR(VLOOKUP(C95,'Calibrated Tools Register'!B:M,12,FALSE)-TODAY(),"")</f>
        <v/>
      </c>
      <c r="I95" s="3" t="str">
        <f t="shared" ca="1" si="3"/>
        <v/>
      </c>
      <c r="J95" s="5"/>
      <c r="K95" s="6"/>
      <c r="L95" s="5"/>
      <c r="M95" s="6"/>
      <c r="N95" s="6"/>
      <c r="O95" s="6"/>
    </row>
    <row r="96" spans="1:15">
      <c r="A96" s="3" t="str">
        <f t="shared" si="2"/>
        <v/>
      </c>
      <c r="B96" s="3"/>
      <c r="C96" s="22"/>
      <c r="D96" s="4" t="str">
        <f>IF(C96="","",IFERROR(VLOOKUP(C96,'Calibrated Tools Register'!B:C,2,FALSE),"NOT registered"))</f>
        <v/>
      </c>
      <c r="E96" s="3"/>
      <c r="F96" s="4"/>
      <c r="G96" s="3"/>
      <c r="H96" s="3" t="str">
        <f ca="1">IFERROR(VLOOKUP(C96,'Calibrated Tools Register'!B:M,12,FALSE)-TODAY(),"")</f>
        <v/>
      </c>
      <c r="I96" s="3" t="str">
        <f t="shared" ca="1" si="3"/>
        <v/>
      </c>
      <c r="J96" s="3"/>
      <c r="K96" s="4"/>
      <c r="L96" s="3"/>
      <c r="M96" s="4"/>
      <c r="N96" s="4"/>
      <c r="O96" s="4"/>
    </row>
    <row r="97" spans="1:15">
      <c r="A97" s="3" t="str">
        <f t="shared" si="2"/>
        <v/>
      </c>
      <c r="B97" s="5"/>
      <c r="C97" s="23"/>
      <c r="D97" s="4" t="str">
        <f>IF(C97="","",IFERROR(VLOOKUP(C97,'Calibrated Tools Register'!B:C,2,FALSE),"NOT registered"))</f>
        <v/>
      </c>
      <c r="E97" s="5"/>
      <c r="F97" s="6"/>
      <c r="G97" s="5"/>
      <c r="H97" s="5" t="str">
        <f ca="1">IFERROR(VLOOKUP(C97,'Calibrated Tools Register'!B:M,12,FALSE)-TODAY(),"")</f>
        <v/>
      </c>
      <c r="I97" s="3" t="str">
        <f t="shared" ca="1" si="3"/>
        <v/>
      </c>
      <c r="J97" s="5"/>
      <c r="K97" s="6"/>
      <c r="L97" s="5"/>
      <c r="M97" s="6"/>
      <c r="N97" s="6"/>
      <c r="O97" s="6"/>
    </row>
    <row r="98" spans="1:15">
      <c r="A98" s="3" t="str">
        <f t="shared" si="2"/>
        <v/>
      </c>
      <c r="B98" s="3"/>
      <c r="C98" s="22"/>
      <c r="D98" s="4" t="str">
        <f>IF(C98="","",IFERROR(VLOOKUP(C98,'Calibrated Tools Register'!B:C,2,FALSE),"NOT registered"))</f>
        <v/>
      </c>
      <c r="E98" s="3"/>
      <c r="F98" s="4"/>
      <c r="G98" s="3"/>
      <c r="H98" s="3" t="str">
        <f ca="1">IFERROR(VLOOKUP(C98,'Calibrated Tools Register'!B:M,12,FALSE)-TODAY(),"")</f>
        <v/>
      </c>
      <c r="I98" s="3" t="str">
        <f t="shared" ca="1" si="3"/>
        <v/>
      </c>
      <c r="J98" s="3"/>
      <c r="K98" s="4"/>
      <c r="L98" s="3"/>
      <c r="M98" s="4"/>
      <c r="N98" s="4"/>
      <c r="O98" s="4"/>
    </row>
    <row r="99" spans="1:15">
      <c r="A99" s="3" t="str">
        <f t="shared" si="2"/>
        <v/>
      </c>
      <c r="B99" s="5"/>
      <c r="C99" s="23"/>
      <c r="D99" s="4" t="str">
        <f>IF(C99="","",IFERROR(VLOOKUP(C99,'Calibrated Tools Register'!B:C,2,FALSE),"NOT registered"))</f>
        <v/>
      </c>
      <c r="E99" s="5"/>
      <c r="F99" s="6"/>
      <c r="G99" s="5"/>
      <c r="H99" s="5" t="str">
        <f ca="1">IFERROR(VLOOKUP(C99,'Calibrated Tools Register'!B:M,12,FALSE)-TODAY(),"")</f>
        <v/>
      </c>
      <c r="I99" s="3" t="str">
        <f t="shared" ca="1" si="3"/>
        <v/>
      </c>
      <c r="J99" s="5"/>
      <c r="K99" s="6"/>
      <c r="L99" s="5"/>
      <c r="M99" s="6"/>
      <c r="N99" s="6"/>
      <c r="O99" s="6"/>
    </row>
    <row r="100" spans="1:15">
      <c r="A100" s="3" t="str">
        <f t="shared" si="2"/>
        <v/>
      </c>
      <c r="B100" s="3"/>
      <c r="C100" s="22"/>
      <c r="D100" s="4" t="str">
        <f>IF(C100="","",IFERROR(VLOOKUP(C100,'Calibrated Tools Register'!B:C,2,FALSE),"NOT registered"))</f>
        <v/>
      </c>
      <c r="E100" s="3"/>
      <c r="F100" s="4"/>
      <c r="G100" s="3"/>
      <c r="H100" s="3" t="str">
        <f ca="1">IFERROR(VLOOKUP(C100,'Calibrated Tools Register'!B:M,12,FALSE)-TODAY(),"")</f>
        <v/>
      </c>
      <c r="I100" s="3" t="str">
        <f t="shared" ca="1" si="3"/>
        <v/>
      </c>
      <c r="J100" s="3"/>
      <c r="K100" s="4"/>
      <c r="L100" s="3"/>
      <c r="M100" s="4"/>
      <c r="N100" s="4"/>
      <c r="O100" s="4"/>
    </row>
    <row r="101" spans="1:15">
      <c r="A101" s="3" t="str">
        <f t="shared" si="2"/>
        <v/>
      </c>
      <c r="B101" s="5"/>
      <c r="C101" s="23"/>
      <c r="D101" s="4" t="str">
        <f>IF(C101="","",IFERROR(VLOOKUP(C101,'Calibrated Tools Register'!B:C,2,FALSE),"NOT registered"))</f>
        <v/>
      </c>
      <c r="E101" s="5"/>
      <c r="F101" s="6"/>
      <c r="G101" s="5"/>
      <c r="H101" s="5" t="str">
        <f ca="1">IFERROR(VLOOKUP(C101,'Calibrated Tools Register'!B:M,12,FALSE)-TODAY(),"")</f>
        <v/>
      </c>
      <c r="I101" s="3" t="str">
        <f t="shared" ca="1" si="3"/>
        <v/>
      </c>
      <c r="J101" s="5"/>
      <c r="K101" s="6"/>
      <c r="L101" s="5"/>
      <c r="M101" s="6"/>
      <c r="N101" s="6"/>
      <c r="O101" s="6"/>
    </row>
    <row r="102" spans="1:15">
      <c r="A102" s="3" t="str">
        <f t="shared" si="2"/>
        <v/>
      </c>
      <c r="B102" s="3"/>
      <c r="C102" s="22"/>
      <c r="D102" s="4" t="str">
        <f>IF(C102="","",IFERROR(VLOOKUP(C102,'Calibrated Tools Register'!B:C,2,FALSE),"NOT registered"))</f>
        <v/>
      </c>
      <c r="E102" s="3"/>
      <c r="F102" s="4"/>
      <c r="G102" s="3"/>
      <c r="H102" s="3" t="str">
        <f ca="1">IFERROR(VLOOKUP(C102,'Calibrated Tools Register'!B:M,12,FALSE)-TODAY(),"")</f>
        <v/>
      </c>
      <c r="I102" s="3" t="str">
        <f t="shared" ca="1" si="3"/>
        <v/>
      </c>
      <c r="J102" s="3"/>
      <c r="K102" s="4"/>
      <c r="L102" s="3"/>
      <c r="M102" s="4"/>
      <c r="N102" s="4"/>
      <c r="O102" s="4"/>
    </row>
    <row r="103" spans="1:15">
      <c r="A103" s="3" t="str">
        <f t="shared" si="2"/>
        <v/>
      </c>
      <c r="B103" s="5"/>
      <c r="C103" s="23"/>
      <c r="D103" s="4" t="str">
        <f>IF(C103="","",IFERROR(VLOOKUP(C103,'Calibrated Tools Register'!B:C,2,FALSE),"NOT registered"))</f>
        <v/>
      </c>
      <c r="E103" s="5"/>
      <c r="F103" s="6"/>
      <c r="G103" s="5"/>
      <c r="H103" s="5" t="str">
        <f ca="1">IFERROR(VLOOKUP(C103,'Calibrated Tools Register'!B:M,12,FALSE)-TODAY(),"")</f>
        <v/>
      </c>
      <c r="I103" s="3" t="str">
        <f t="shared" ca="1" si="3"/>
        <v/>
      </c>
      <c r="J103" s="5"/>
      <c r="K103" s="6"/>
      <c r="L103" s="5"/>
      <c r="M103" s="6"/>
      <c r="N103" s="6"/>
      <c r="O103" s="6"/>
    </row>
    <row r="104" spans="1:15">
      <c r="A104" s="3" t="str">
        <f t="shared" si="2"/>
        <v/>
      </c>
      <c r="B104" s="3"/>
      <c r="C104" s="22"/>
      <c r="D104" s="4" t="str">
        <f>IF(C104="","",IFERROR(VLOOKUP(C104,'Calibrated Tools Register'!B:C,2,FALSE),"NOT registered"))</f>
        <v/>
      </c>
      <c r="E104" s="3"/>
      <c r="F104" s="4"/>
      <c r="G104" s="3"/>
      <c r="H104" s="3" t="str">
        <f ca="1">IFERROR(VLOOKUP(C104,'Calibrated Tools Register'!B:M,12,FALSE)-TODAY(),"")</f>
        <v/>
      </c>
      <c r="I104" s="3" t="str">
        <f t="shared" ca="1" si="3"/>
        <v/>
      </c>
      <c r="J104" s="3"/>
      <c r="K104" s="4"/>
      <c r="L104" s="3"/>
      <c r="M104" s="4"/>
      <c r="N104" s="4"/>
      <c r="O104" s="4"/>
    </row>
    <row r="105" spans="1:15">
      <c r="A105" s="3" t="str">
        <f t="shared" si="2"/>
        <v/>
      </c>
      <c r="B105" s="5"/>
      <c r="C105" s="23"/>
      <c r="D105" s="4" t="str">
        <f>IF(C105="","",IFERROR(VLOOKUP(C105,'Calibrated Tools Register'!B:C,2,FALSE),"NOT registered"))</f>
        <v/>
      </c>
      <c r="E105" s="5"/>
      <c r="F105" s="6"/>
      <c r="G105" s="5"/>
      <c r="H105" s="5" t="str">
        <f ca="1">IFERROR(VLOOKUP(C105,'Calibrated Tools Register'!B:M,12,FALSE)-TODAY(),"")</f>
        <v/>
      </c>
      <c r="I105" s="3" t="str">
        <f t="shared" ca="1" si="3"/>
        <v/>
      </c>
      <c r="J105" s="5"/>
      <c r="K105" s="6"/>
      <c r="L105" s="5"/>
      <c r="M105" s="6"/>
      <c r="N105" s="6"/>
      <c r="O105" s="6"/>
    </row>
    <row r="106" spans="1:15">
      <c r="A106" s="3" t="str">
        <f t="shared" si="2"/>
        <v/>
      </c>
      <c r="B106" s="3"/>
      <c r="C106" s="22"/>
      <c r="D106" s="4" t="str">
        <f>IF(C106="","",IFERROR(VLOOKUP(C106,'Calibrated Tools Register'!B:C,2,FALSE),"NOT registered"))</f>
        <v/>
      </c>
      <c r="E106" s="3"/>
      <c r="F106" s="4"/>
      <c r="G106" s="3"/>
      <c r="H106" s="3" t="str">
        <f ca="1">IFERROR(VLOOKUP(C106,'Calibrated Tools Register'!B:M,12,FALSE)-TODAY(),"")</f>
        <v/>
      </c>
      <c r="I106" s="3" t="str">
        <f t="shared" ca="1" si="3"/>
        <v/>
      </c>
      <c r="J106" s="3"/>
      <c r="K106" s="4"/>
      <c r="L106" s="3"/>
      <c r="M106" s="4"/>
      <c r="N106" s="4"/>
      <c r="O106" s="4"/>
    </row>
    <row r="107" spans="1:15">
      <c r="A107" s="3" t="str">
        <f t="shared" si="2"/>
        <v/>
      </c>
      <c r="B107" s="5"/>
      <c r="C107" s="23"/>
      <c r="D107" s="4" t="str">
        <f>IF(C107="","",IFERROR(VLOOKUP(C107,'Calibrated Tools Register'!B:C,2,FALSE),"NOT registered"))</f>
        <v/>
      </c>
      <c r="E107" s="5"/>
      <c r="F107" s="6"/>
      <c r="G107" s="5"/>
      <c r="H107" s="5" t="str">
        <f ca="1">IFERROR(VLOOKUP(C107,'Calibrated Tools Register'!B:M,12,FALSE)-TODAY(),"")</f>
        <v/>
      </c>
      <c r="I107" s="3" t="str">
        <f t="shared" ca="1" si="3"/>
        <v/>
      </c>
      <c r="J107" s="5"/>
      <c r="K107" s="6"/>
      <c r="L107" s="5"/>
      <c r="M107" s="6"/>
      <c r="N107" s="6"/>
      <c r="O107" s="6"/>
    </row>
    <row r="108" spans="1:15">
      <c r="A108" s="3" t="str">
        <f t="shared" si="2"/>
        <v/>
      </c>
      <c r="B108" s="3"/>
      <c r="C108" s="22"/>
      <c r="D108" s="4" t="str">
        <f>IF(C108="","",IFERROR(VLOOKUP(C108,'Calibrated Tools Register'!B:C,2,FALSE),"NOT registered"))</f>
        <v/>
      </c>
      <c r="E108" s="3"/>
      <c r="F108" s="4"/>
      <c r="G108" s="3"/>
      <c r="H108" s="3" t="str">
        <f ca="1">IFERROR(VLOOKUP(C108,'Calibrated Tools Register'!B:M,12,FALSE)-TODAY(),"")</f>
        <v/>
      </c>
      <c r="I108" s="3" t="str">
        <f t="shared" ca="1" si="3"/>
        <v/>
      </c>
      <c r="J108" s="3"/>
      <c r="K108" s="4"/>
      <c r="L108" s="3"/>
      <c r="M108" s="4"/>
      <c r="N108" s="4"/>
      <c r="O108" s="4"/>
    </row>
    <row r="109" spans="1:15">
      <c r="A109" s="3" t="str">
        <f t="shared" si="2"/>
        <v/>
      </c>
      <c r="B109" s="5"/>
      <c r="C109" s="23"/>
      <c r="D109" s="4" t="str">
        <f>IF(C109="","",IFERROR(VLOOKUP(C109,'Calibrated Tools Register'!B:C,2,FALSE),"NOT registered"))</f>
        <v/>
      </c>
      <c r="E109" s="5"/>
      <c r="F109" s="6"/>
      <c r="G109" s="5"/>
      <c r="H109" s="5" t="str">
        <f ca="1">IFERROR(VLOOKUP(C109,'Calibrated Tools Register'!B:M,12,FALSE)-TODAY(),"")</f>
        <v/>
      </c>
      <c r="I109" s="3" t="str">
        <f t="shared" ca="1" si="3"/>
        <v/>
      </c>
      <c r="J109" s="5"/>
      <c r="K109" s="6"/>
      <c r="L109" s="5"/>
      <c r="M109" s="6"/>
      <c r="N109" s="6"/>
      <c r="O109" s="6"/>
    </row>
    <row r="110" spans="1:15">
      <c r="A110" s="3" t="str">
        <f t="shared" si="2"/>
        <v/>
      </c>
      <c r="B110" s="3"/>
      <c r="C110" s="22"/>
      <c r="D110" s="4" t="str">
        <f>IF(C110="","",IFERROR(VLOOKUP(C110,'Calibrated Tools Register'!B:C,2,FALSE),"NOT registered"))</f>
        <v/>
      </c>
      <c r="E110" s="3"/>
      <c r="F110" s="4"/>
      <c r="G110" s="3"/>
      <c r="H110" s="3" t="str">
        <f ca="1">IFERROR(VLOOKUP(C110,'Calibrated Tools Register'!B:M,12,FALSE)-TODAY(),"")</f>
        <v/>
      </c>
      <c r="I110" s="3" t="str">
        <f t="shared" ca="1" si="3"/>
        <v/>
      </c>
      <c r="J110" s="3"/>
      <c r="K110" s="4"/>
      <c r="L110" s="3"/>
      <c r="M110" s="4"/>
      <c r="N110" s="4"/>
      <c r="O110" s="4"/>
    </row>
    <row r="111" spans="1:15">
      <c r="A111" s="3" t="str">
        <f t="shared" si="2"/>
        <v/>
      </c>
      <c r="B111" s="5"/>
      <c r="C111" s="23"/>
      <c r="D111" s="4" t="str">
        <f>IF(C111="","",IFERROR(VLOOKUP(C111,'Calibrated Tools Register'!B:C,2,FALSE),"NOT registered"))</f>
        <v/>
      </c>
      <c r="E111" s="5"/>
      <c r="F111" s="6"/>
      <c r="G111" s="5"/>
      <c r="H111" s="5" t="str">
        <f ca="1">IFERROR(VLOOKUP(C111,'Calibrated Tools Register'!B:M,12,FALSE)-TODAY(),"")</f>
        <v/>
      </c>
      <c r="I111" s="3" t="str">
        <f t="shared" ca="1" si="3"/>
        <v/>
      </c>
      <c r="J111" s="5"/>
      <c r="K111" s="6"/>
      <c r="L111" s="5"/>
      <c r="M111" s="6"/>
      <c r="N111" s="6"/>
      <c r="O111" s="6"/>
    </row>
    <row r="112" spans="1:15">
      <c r="A112" s="3" t="str">
        <f t="shared" si="2"/>
        <v/>
      </c>
      <c r="B112" s="3"/>
      <c r="C112" s="22"/>
      <c r="D112" s="4" t="str">
        <f>IF(C112="","",IFERROR(VLOOKUP(C112,'Calibrated Tools Register'!B:C,2,FALSE),"NOT registered"))</f>
        <v/>
      </c>
      <c r="E112" s="3"/>
      <c r="F112" s="4"/>
      <c r="G112" s="3"/>
      <c r="H112" s="3" t="str">
        <f ca="1">IFERROR(VLOOKUP(C112,'Calibrated Tools Register'!B:M,12,FALSE)-TODAY(),"")</f>
        <v/>
      </c>
      <c r="I112" s="3" t="str">
        <f t="shared" ca="1" si="3"/>
        <v/>
      </c>
      <c r="J112" s="3"/>
      <c r="K112" s="4"/>
      <c r="L112" s="3"/>
      <c r="M112" s="4"/>
      <c r="N112" s="4"/>
      <c r="O112" s="4"/>
    </row>
    <row r="113" spans="1:15">
      <c r="A113" s="3" t="str">
        <f t="shared" si="2"/>
        <v/>
      </c>
      <c r="B113" s="5"/>
      <c r="C113" s="23"/>
      <c r="D113" s="4" t="str">
        <f>IF(C113="","",IFERROR(VLOOKUP(C113,'Calibrated Tools Register'!B:C,2,FALSE),"NOT registered"))</f>
        <v/>
      </c>
      <c r="E113" s="5"/>
      <c r="F113" s="6"/>
      <c r="G113" s="5"/>
      <c r="H113" s="5" t="str">
        <f ca="1">IFERROR(VLOOKUP(C113,'Calibrated Tools Register'!B:M,12,FALSE)-TODAY(),"")</f>
        <v/>
      </c>
      <c r="I113" s="3" t="str">
        <f t="shared" ca="1" si="3"/>
        <v/>
      </c>
      <c r="J113" s="5"/>
      <c r="K113" s="6"/>
      <c r="L113" s="5"/>
      <c r="M113" s="6"/>
      <c r="N113" s="6"/>
      <c r="O113" s="6"/>
    </row>
    <row r="114" spans="1:15">
      <c r="A114" s="3" t="str">
        <f t="shared" si="2"/>
        <v/>
      </c>
      <c r="B114" s="3"/>
      <c r="C114" s="22"/>
      <c r="D114" s="4" t="str">
        <f>IF(C114="","",IFERROR(VLOOKUP(C114,'Calibrated Tools Register'!B:C,2,FALSE),"NOT registered"))</f>
        <v/>
      </c>
      <c r="E114" s="3"/>
      <c r="F114" s="4"/>
      <c r="G114" s="3"/>
      <c r="H114" s="3" t="str">
        <f ca="1">IFERROR(VLOOKUP(C114,'Calibrated Tools Register'!B:M,12,FALSE)-TODAY(),"")</f>
        <v/>
      </c>
      <c r="I114" s="3" t="str">
        <f t="shared" ca="1" si="3"/>
        <v/>
      </c>
      <c r="J114" s="3"/>
      <c r="K114" s="4"/>
      <c r="L114" s="3"/>
      <c r="M114" s="4"/>
      <c r="N114" s="4"/>
      <c r="O114" s="4"/>
    </row>
    <row r="115" spans="1:15">
      <c r="A115" s="3" t="str">
        <f t="shared" si="2"/>
        <v/>
      </c>
      <c r="B115" s="5"/>
      <c r="C115" s="23"/>
      <c r="D115" s="4" t="str">
        <f>IF(C115="","",IFERROR(VLOOKUP(C115,'Calibrated Tools Register'!B:C,2,FALSE),"NOT registered"))</f>
        <v/>
      </c>
      <c r="E115" s="5"/>
      <c r="F115" s="6"/>
      <c r="G115" s="5"/>
      <c r="H115" s="5" t="str">
        <f ca="1">IFERROR(VLOOKUP(C115,'Calibrated Tools Register'!B:M,12,FALSE)-TODAY(),"")</f>
        <v/>
      </c>
      <c r="I115" s="3" t="str">
        <f t="shared" ca="1" si="3"/>
        <v/>
      </c>
      <c r="J115" s="5"/>
      <c r="K115" s="6"/>
      <c r="L115" s="5"/>
      <c r="M115" s="6"/>
      <c r="N115" s="6"/>
      <c r="O115" s="6"/>
    </row>
    <row r="116" spans="1:15">
      <c r="A116" s="3" t="str">
        <f t="shared" si="2"/>
        <v/>
      </c>
      <c r="B116" s="3"/>
      <c r="C116" s="22"/>
      <c r="D116" s="4" t="str">
        <f>IF(C116="","",IFERROR(VLOOKUP(C116,'Calibrated Tools Register'!B:C,2,FALSE),"NOT registered"))</f>
        <v/>
      </c>
      <c r="E116" s="3"/>
      <c r="F116" s="4"/>
      <c r="G116" s="3"/>
      <c r="H116" s="3" t="str">
        <f ca="1">IFERROR(VLOOKUP(C116,'Calibrated Tools Register'!B:M,12,FALSE)-TODAY(),"")</f>
        <v/>
      </c>
      <c r="I116" s="3" t="str">
        <f t="shared" ca="1" si="3"/>
        <v/>
      </c>
      <c r="J116" s="3"/>
      <c r="K116" s="4"/>
      <c r="L116" s="3"/>
      <c r="M116" s="4"/>
      <c r="N116" s="4"/>
      <c r="O116" s="4"/>
    </row>
    <row r="117" spans="1:15">
      <c r="A117" s="3" t="str">
        <f t="shared" si="2"/>
        <v/>
      </c>
      <c r="B117" s="5"/>
      <c r="C117" s="23"/>
      <c r="D117" s="4" t="str">
        <f>IF(C117="","",IFERROR(VLOOKUP(C117,'Calibrated Tools Register'!B:C,2,FALSE),"NOT registered"))</f>
        <v/>
      </c>
      <c r="E117" s="5"/>
      <c r="F117" s="6"/>
      <c r="G117" s="5"/>
      <c r="H117" s="5" t="str">
        <f ca="1">IFERROR(VLOOKUP(C117,'Calibrated Tools Register'!B:M,12,FALSE)-TODAY(),"")</f>
        <v/>
      </c>
      <c r="I117" s="3" t="str">
        <f t="shared" ca="1" si="3"/>
        <v/>
      </c>
      <c r="J117" s="5"/>
      <c r="K117" s="6"/>
      <c r="L117" s="5"/>
      <c r="M117" s="6"/>
      <c r="N117" s="6"/>
      <c r="O117" s="6"/>
    </row>
    <row r="118" spans="1:15">
      <c r="A118" s="3" t="str">
        <f t="shared" si="2"/>
        <v/>
      </c>
      <c r="B118" s="3"/>
      <c r="C118" s="22"/>
      <c r="D118" s="4" t="str">
        <f>IF(C118="","",IFERROR(VLOOKUP(C118,'Calibrated Tools Register'!B:C,2,FALSE),"NOT registered"))</f>
        <v/>
      </c>
      <c r="E118" s="3"/>
      <c r="F118" s="4"/>
      <c r="G118" s="3"/>
      <c r="H118" s="3" t="str">
        <f ca="1">IFERROR(VLOOKUP(C118,'Calibrated Tools Register'!B:M,12,FALSE)-TODAY(),"")</f>
        <v/>
      </c>
      <c r="I118" s="3" t="str">
        <f t="shared" ca="1" si="3"/>
        <v/>
      </c>
      <c r="J118" s="3"/>
      <c r="K118" s="4"/>
      <c r="L118" s="3"/>
      <c r="M118" s="4"/>
      <c r="N118" s="4"/>
      <c r="O118" s="4"/>
    </row>
    <row r="119" spans="1:15">
      <c r="A119" s="3" t="str">
        <f t="shared" si="2"/>
        <v/>
      </c>
      <c r="B119" s="5"/>
      <c r="C119" s="23"/>
      <c r="D119" s="4" t="str">
        <f>IF(C119="","",IFERROR(VLOOKUP(C119,'Calibrated Tools Register'!B:C,2,FALSE),"NOT registered"))</f>
        <v/>
      </c>
      <c r="E119" s="5"/>
      <c r="F119" s="6"/>
      <c r="G119" s="5"/>
      <c r="H119" s="5" t="str">
        <f ca="1">IFERROR(VLOOKUP(C119,'Calibrated Tools Register'!B:M,12,FALSE)-TODAY(),"")</f>
        <v/>
      </c>
      <c r="I119" s="3" t="str">
        <f t="shared" ca="1" si="3"/>
        <v/>
      </c>
      <c r="J119" s="5"/>
      <c r="K119" s="6"/>
      <c r="L119" s="5"/>
      <c r="M119" s="6"/>
      <c r="N119" s="6"/>
      <c r="O119" s="6"/>
    </row>
    <row r="120" spans="1:15">
      <c r="A120" s="3" t="str">
        <f t="shared" si="2"/>
        <v/>
      </c>
      <c r="B120" s="3"/>
      <c r="C120" s="22"/>
      <c r="D120" s="4" t="str">
        <f>IF(C120="","",IFERROR(VLOOKUP(C120,'Calibrated Tools Register'!B:C,2,FALSE),"NOT registered"))</f>
        <v/>
      </c>
      <c r="E120" s="3"/>
      <c r="F120" s="4"/>
      <c r="G120" s="3"/>
      <c r="H120" s="3" t="str">
        <f ca="1">IFERROR(VLOOKUP(C120,'Calibrated Tools Register'!B:M,12,FALSE)-TODAY(),"")</f>
        <v/>
      </c>
      <c r="I120" s="3" t="str">
        <f t="shared" ca="1" si="3"/>
        <v/>
      </c>
      <c r="J120" s="3"/>
      <c r="K120" s="4"/>
      <c r="L120" s="3"/>
      <c r="M120" s="4"/>
      <c r="N120" s="4"/>
      <c r="O120" s="4"/>
    </row>
    <row r="121" spans="1:15">
      <c r="A121" s="3" t="str">
        <f t="shared" si="2"/>
        <v/>
      </c>
      <c r="B121" s="5"/>
      <c r="C121" s="23"/>
      <c r="D121" s="4" t="str">
        <f>IF(C121="","",IFERROR(VLOOKUP(C121,'Calibrated Tools Register'!B:C,2,FALSE),"NOT registered"))</f>
        <v/>
      </c>
      <c r="E121" s="5"/>
      <c r="F121" s="6"/>
      <c r="G121" s="5"/>
      <c r="H121" s="5" t="str">
        <f ca="1">IFERROR(VLOOKUP(C121,'Calibrated Tools Register'!B:M,12,FALSE)-TODAY(),"")</f>
        <v/>
      </c>
      <c r="I121" s="3" t="str">
        <f t="shared" ca="1" si="3"/>
        <v/>
      </c>
      <c r="J121" s="5"/>
      <c r="K121" s="6"/>
      <c r="L121" s="5"/>
      <c r="M121" s="6"/>
      <c r="N121" s="6"/>
      <c r="O121" s="6"/>
    </row>
    <row r="122" spans="1:15">
      <c r="A122" s="3" t="str">
        <f t="shared" si="2"/>
        <v/>
      </c>
      <c r="B122" s="3"/>
      <c r="C122" s="22"/>
      <c r="D122" s="4" t="str">
        <f>IF(C122="","",IFERROR(VLOOKUP(C122,'Calibrated Tools Register'!B:C,2,FALSE),"NOT registered"))</f>
        <v/>
      </c>
      <c r="E122" s="3"/>
      <c r="F122" s="4"/>
      <c r="G122" s="3"/>
      <c r="H122" s="3" t="str">
        <f ca="1">IFERROR(VLOOKUP(C122,'Calibrated Tools Register'!B:M,12,FALSE)-TODAY(),"")</f>
        <v/>
      </c>
      <c r="I122" s="3" t="str">
        <f t="shared" ca="1" si="3"/>
        <v/>
      </c>
      <c r="J122" s="3"/>
      <c r="K122" s="4"/>
      <c r="L122" s="3"/>
      <c r="M122" s="4"/>
      <c r="N122" s="4"/>
      <c r="O122" s="4"/>
    </row>
    <row r="123" spans="1:15">
      <c r="A123" s="3" t="str">
        <f t="shared" si="2"/>
        <v/>
      </c>
      <c r="B123" s="5"/>
      <c r="C123" s="23"/>
      <c r="D123" s="4" t="str">
        <f>IF(C123="","",IFERROR(VLOOKUP(C123,'Calibrated Tools Register'!B:C,2,FALSE),"NOT registered"))</f>
        <v/>
      </c>
      <c r="E123" s="5"/>
      <c r="F123" s="6"/>
      <c r="G123" s="5"/>
      <c r="H123" s="5" t="str">
        <f ca="1">IFERROR(VLOOKUP(C123,'Calibrated Tools Register'!B:M,12,FALSE)-TODAY(),"")</f>
        <v/>
      </c>
      <c r="I123" s="3" t="str">
        <f t="shared" ca="1" si="3"/>
        <v/>
      </c>
      <c r="J123" s="5"/>
      <c r="K123" s="6"/>
      <c r="L123" s="5"/>
      <c r="M123" s="6"/>
      <c r="N123" s="6"/>
      <c r="O123" s="6"/>
    </row>
    <row r="124" spans="1:15">
      <c r="A124" s="3" t="str">
        <f t="shared" si="2"/>
        <v/>
      </c>
      <c r="B124" s="3"/>
      <c r="C124" s="22"/>
      <c r="D124" s="4" t="str">
        <f>IF(C124="","",IFERROR(VLOOKUP(C124,'Calibrated Tools Register'!B:C,2,FALSE),"NOT registered"))</f>
        <v/>
      </c>
      <c r="E124" s="3"/>
      <c r="F124" s="4"/>
      <c r="G124" s="3"/>
      <c r="H124" s="3" t="str">
        <f ca="1">IFERROR(VLOOKUP(C124,'Calibrated Tools Register'!B:M,12,FALSE)-TODAY(),"")</f>
        <v/>
      </c>
      <c r="I124" s="3" t="str">
        <f t="shared" ca="1" si="3"/>
        <v/>
      </c>
      <c r="J124" s="3"/>
      <c r="K124" s="4"/>
      <c r="L124" s="3"/>
      <c r="M124" s="4"/>
      <c r="N124" s="4"/>
      <c r="O124" s="4"/>
    </row>
    <row r="125" spans="1:15">
      <c r="A125" s="3" t="str">
        <f t="shared" si="2"/>
        <v/>
      </c>
      <c r="B125" s="5"/>
      <c r="C125" s="23"/>
      <c r="D125" s="4" t="str">
        <f>IF(C125="","",IFERROR(VLOOKUP(C125,'Calibrated Tools Register'!B:C,2,FALSE),"NOT registered"))</f>
        <v/>
      </c>
      <c r="E125" s="5"/>
      <c r="F125" s="6"/>
      <c r="G125" s="5"/>
      <c r="H125" s="5" t="str">
        <f ca="1">IFERROR(VLOOKUP(C125,'Calibrated Tools Register'!B:M,12,FALSE)-TODAY(),"")</f>
        <v/>
      </c>
      <c r="I125" s="3" t="str">
        <f t="shared" ca="1" si="3"/>
        <v/>
      </c>
      <c r="J125" s="5"/>
      <c r="K125" s="6"/>
      <c r="L125" s="5"/>
      <c r="M125" s="6"/>
      <c r="N125" s="6"/>
      <c r="O125" s="6"/>
    </row>
    <row r="126" spans="1:15">
      <c r="A126" s="3" t="str">
        <f t="shared" si="2"/>
        <v/>
      </c>
      <c r="B126" s="3"/>
      <c r="C126" s="22"/>
      <c r="D126" s="4" t="str">
        <f>IF(C126="","",IFERROR(VLOOKUP(C126,'Calibrated Tools Register'!B:C,2,FALSE),"NOT registered"))</f>
        <v/>
      </c>
      <c r="E126" s="3"/>
      <c r="F126" s="4"/>
      <c r="G126" s="3"/>
      <c r="H126" s="3" t="str">
        <f ca="1">IFERROR(VLOOKUP(C126,'Calibrated Tools Register'!B:M,12,FALSE)-TODAY(),"")</f>
        <v/>
      </c>
      <c r="I126" s="3" t="str">
        <f t="shared" ca="1" si="3"/>
        <v/>
      </c>
      <c r="J126" s="3"/>
      <c r="K126" s="4"/>
      <c r="L126" s="3"/>
      <c r="M126" s="4"/>
      <c r="N126" s="4"/>
      <c r="O126" s="4"/>
    </row>
    <row r="127" spans="1:15">
      <c r="A127" s="3" t="str">
        <f t="shared" si="2"/>
        <v/>
      </c>
      <c r="B127" s="5"/>
      <c r="C127" s="23"/>
      <c r="D127" s="4" t="str">
        <f>IF(C127="","",IFERROR(VLOOKUP(C127,'Calibrated Tools Register'!B:C,2,FALSE),"NOT registered"))</f>
        <v/>
      </c>
      <c r="E127" s="5"/>
      <c r="F127" s="6"/>
      <c r="G127" s="5"/>
      <c r="H127" s="5" t="str">
        <f ca="1">IFERROR(VLOOKUP(C127,'Calibrated Tools Register'!B:M,12,FALSE)-TODAY(),"")</f>
        <v/>
      </c>
      <c r="I127" s="3" t="str">
        <f t="shared" ca="1" si="3"/>
        <v/>
      </c>
      <c r="J127" s="5"/>
      <c r="K127" s="6"/>
      <c r="L127" s="5"/>
      <c r="M127" s="6"/>
      <c r="N127" s="6"/>
      <c r="O127" s="6"/>
    </row>
    <row r="128" spans="1:15">
      <c r="A128" s="3" t="str">
        <f t="shared" si="2"/>
        <v/>
      </c>
      <c r="B128" s="3"/>
      <c r="C128" s="22"/>
      <c r="D128" s="4" t="str">
        <f>IF(C128="","",IFERROR(VLOOKUP(C128,'Calibrated Tools Register'!B:C,2,FALSE),"NOT registered"))</f>
        <v/>
      </c>
      <c r="E128" s="3"/>
      <c r="F128" s="4"/>
      <c r="G128" s="3"/>
      <c r="H128" s="3" t="str">
        <f ca="1">IFERROR(VLOOKUP(C128,'Calibrated Tools Register'!B:M,12,FALSE)-TODAY(),"")</f>
        <v/>
      </c>
      <c r="I128" s="3" t="str">
        <f t="shared" ca="1" si="3"/>
        <v/>
      </c>
      <c r="J128" s="3"/>
      <c r="K128" s="4"/>
      <c r="L128" s="3"/>
      <c r="M128" s="4"/>
      <c r="N128" s="4"/>
      <c r="O128" s="4"/>
    </row>
    <row r="129" spans="1:15">
      <c r="A129" s="3" t="str">
        <f t="shared" si="2"/>
        <v/>
      </c>
      <c r="B129" s="5"/>
      <c r="C129" s="23"/>
      <c r="D129" s="4" t="str">
        <f>IF(C129="","",IFERROR(VLOOKUP(C129,'Calibrated Tools Register'!B:C,2,FALSE),"NOT registered"))</f>
        <v/>
      </c>
      <c r="E129" s="5"/>
      <c r="F129" s="6"/>
      <c r="G129" s="5"/>
      <c r="H129" s="5" t="str">
        <f ca="1">IFERROR(VLOOKUP(C129,'Calibrated Tools Register'!B:M,12,FALSE)-TODAY(),"")</f>
        <v/>
      </c>
      <c r="I129" s="3" t="str">
        <f t="shared" ca="1" si="3"/>
        <v/>
      </c>
      <c r="J129" s="5"/>
      <c r="K129" s="6"/>
      <c r="L129" s="5"/>
      <c r="M129" s="6"/>
      <c r="N129" s="6"/>
      <c r="O129" s="6"/>
    </row>
    <row r="130" spans="1:15">
      <c r="A130" s="3" t="str">
        <f t="shared" si="2"/>
        <v/>
      </c>
      <c r="B130" s="3"/>
      <c r="C130" s="22"/>
      <c r="D130" s="4" t="str">
        <f>IF(C130="","",IFERROR(VLOOKUP(C130,'Calibrated Tools Register'!B:C,2,FALSE),"NOT registered"))</f>
        <v/>
      </c>
      <c r="E130" s="3"/>
      <c r="F130" s="4"/>
      <c r="G130" s="3"/>
      <c r="H130" s="3" t="str">
        <f ca="1">IFERROR(VLOOKUP(C130,'Calibrated Tools Register'!B:M,12,FALSE)-TODAY(),"")</f>
        <v/>
      </c>
      <c r="I130" s="3" t="str">
        <f t="shared" ca="1" si="3"/>
        <v/>
      </c>
      <c r="J130" s="3"/>
      <c r="K130" s="4"/>
      <c r="L130" s="3"/>
      <c r="M130" s="4"/>
      <c r="N130" s="4"/>
      <c r="O130" s="4"/>
    </row>
    <row r="131" spans="1:15">
      <c r="A131" s="3" t="str">
        <f t="shared" si="2"/>
        <v/>
      </c>
      <c r="B131" s="5"/>
      <c r="C131" s="23"/>
      <c r="D131" s="4" t="str">
        <f>IF(C131="","",IFERROR(VLOOKUP(C131,'Calibrated Tools Register'!B:C,2,FALSE),"NOT registered"))</f>
        <v/>
      </c>
      <c r="E131" s="5"/>
      <c r="F131" s="6"/>
      <c r="G131" s="5"/>
      <c r="H131" s="5" t="str">
        <f ca="1">IFERROR(VLOOKUP(C131,'Calibrated Tools Register'!B:M,12,FALSE)-TODAY(),"")</f>
        <v/>
      </c>
      <c r="I131" s="3" t="str">
        <f t="shared" ca="1" si="3"/>
        <v/>
      </c>
      <c r="J131" s="5"/>
      <c r="K131" s="6"/>
      <c r="L131" s="5"/>
      <c r="M131" s="6"/>
      <c r="N131" s="6"/>
      <c r="O131" s="6"/>
    </row>
    <row r="132" spans="1:15">
      <c r="A132" s="3" t="str">
        <f t="shared" ref="A132:A195" si="4">IF(C132="","",ROW(C132)-3)</f>
        <v/>
      </c>
      <c r="B132" s="3"/>
      <c r="C132" s="22"/>
      <c r="D132" s="4" t="str">
        <f>IF(C132="","",IFERROR(VLOOKUP(C132,'Calibrated Tools Register'!B:C,2,FALSE),"NOT registered"))</f>
        <v/>
      </c>
      <c r="E132" s="3"/>
      <c r="F132" s="4"/>
      <c r="G132" s="3"/>
      <c r="H132" s="3" t="str">
        <f ca="1">IFERROR(VLOOKUP(C132,'Calibrated Tools Register'!B:M,12,FALSE)-TODAY(),"")</f>
        <v/>
      </c>
      <c r="I132" s="3" t="str">
        <f t="shared" ca="1" si="3"/>
        <v/>
      </c>
      <c r="J132" s="3"/>
      <c r="K132" s="4"/>
      <c r="L132" s="3"/>
      <c r="M132" s="4"/>
      <c r="N132" s="4"/>
      <c r="O132" s="4"/>
    </row>
    <row r="133" spans="1:15">
      <c r="A133" s="3" t="str">
        <f t="shared" si="4"/>
        <v/>
      </c>
      <c r="B133" s="5"/>
      <c r="C133" s="23"/>
      <c r="D133" s="4" t="str">
        <f>IF(C133="","",IFERROR(VLOOKUP(C133,'Calibrated Tools Register'!B:C,2,FALSE),"NOT registered"))</f>
        <v/>
      </c>
      <c r="E133" s="5"/>
      <c r="F133" s="6"/>
      <c r="G133" s="5"/>
      <c r="H133" s="5" t="str">
        <f ca="1">IFERROR(VLOOKUP(C133,'Calibrated Tools Register'!B:M,12,FALSE)-TODAY(),"")</f>
        <v/>
      </c>
      <c r="I133" s="3" t="str">
        <f t="shared" ref="I133:I196" ca="1" si="5">IF(H133="","",IF(H133&lt;=0,"Urgent",IF(H133&lt;=30,"High",IF(H133&lt;=45,"Medium","Low"))))</f>
        <v/>
      </c>
      <c r="J133" s="5"/>
      <c r="K133" s="6"/>
      <c r="L133" s="5"/>
      <c r="M133" s="6"/>
      <c r="N133" s="6"/>
      <c r="O133" s="6"/>
    </row>
    <row r="134" spans="1:15">
      <c r="A134" s="3" t="str">
        <f t="shared" si="4"/>
        <v/>
      </c>
      <c r="B134" s="3"/>
      <c r="C134" s="22"/>
      <c r="D134" s="4" t="str">
        <f>IF(C134="","",IFERROR(VLOOKUP(C134,'Calibrated Tools Register'!B:C,2,FALSE),"NOT registered"))</f>
        <v/>
      </c>
      <c r="E134" s="3"/>
      <c r="F134" s="4"/>
      <c r="G134" s="3"/>
      <c r="H134" s="3" t="str">
        <f ca="1">IFERROR(VLOOKUP(C134,'Calibrated Tools Register'!B:M,12,FALSE)-TODAY(),"")</f>
        <v/>
      </c>
      <c r="I134" s="3" t="str">
        <f t="shared" ca="1" si="5"/>
        <v/>
      </c>
      <c r="J134" s="3"/>
      <c r="K134" s="4"/>
      <c r="L134" s="3"/>
      <c r="M134" s="4"/>
      <c r="N134" s="4"/>
      <c r="O134" s="4"/>
    </row>
    <row r="135" spans="1:15">
      <c r="A135" s="3" t="str">
        <f t="shared" si="4"/>
        <v/>
      </c>
      <c r="B135" s="5"/>
      <c r="C135" s="23"/>
      <c r="D135" s="4" t="str">
        <f>IF(C135="","",IFERROR(VLOOKUP(C135,'Calibrated Tools Register'!B:C,2,FALSE),"NOT registered"))</f>
        <v/>
      </c>
      <c r="E135" s="5"/>
      <c r="F135" s="6"/>
      <c r="G135" s="5"/>
      <c r="H135" s="5" t="str">
        <f ca="1">IFERROR(VLOOKUP(C135,'Calibrated Tools Register'!B:M,12,FALSE)-TODAY(),"")</f>
        <v/>
      </c>
      <c r="I135" s="3" t="str">
        <f t="shared" ca="1" si="5"/>
        <v/>
      </c>
      <c r="J135" s="5"/>
      <c r="K135" s="6"/>
      <c r="L135" s="5"/>
      <c r="M135" s="6"/>
      <c r="N135" s="6"/>
      <c r="O135" s="6"/>
    </row>
    <row r="136" spans="1:15">
      <c r="A136" s="3" t="str">
        <f t="shared" si="4"/>
        <v/>
      </c>
      <c r="B136" s="3"/>
      <c r="C136" s="22"/>
      <c r="D136" s="4" t="str">
        <f>IF(C136="","",IFERROR(VLOOKUP(C136,'Calibrated Tools Register'!B:C,2,FALSE),"NOT registered"))</f>
        <v/>
      </c>
      <c r="E136" s="3"/>
      <c r="F136" s="4"/>
      <c r="G136" s="3"/>
      <c r="H136" s="3" t="str">
        <f ca="1">IFERROR(VLOOKUP(C136,'Calibrated Tools Register'!B:M,12,FALSE)-TODAY(),"")</f>
        <v/>
      </c>
      <c r="I136" s="3" t="str">
        <f t="shared" ca="1" si="5"/>
        <v/>
      </c>
      <c r="J136" s="3"/>
      <c r="K136" s="4"/>
      <c r="L136" s="3"/>
      <c r="M136" s="4"/>
      <c r="N136" s="4"/>
      <c r="O136" s="4"/>
    </row>
    <row r="137" spans="1:15">
      <c r="A137" s="3" t="str">
        <f t="shared" si="4"/>
        <v/>
      </c>
      <c r="B137" s="5"/>
      <c r="C137" s="23"/>
      <c r="D137" s="4" t="str">
        <f>IF(C137="","",IFERROR(VLOOKUP(C137,'Calibrated Tools Register'!B:C,2,FALSE),"NOT registered"))</f>
        <v/>
      </c>
      <c r="E137" s="5"/>
      <c r="F137" s="6"/>
      <c r="G137" s="5"/>
      <c r="H137" s="5" t="str">
        <f ca="1">IFERROR(VLOOKUP(C137,'Calibrated Tools Register'!B:M,12,FALSE)-TODAY(),"")</f>
        <v/>
      </c>
      <c r="I137" s="3" t="str">
        <f t="shared" ca="1" si="5"/>
        <v/>
      </c>
      <c r="J137" s="5"/>
      <c r="K137" s="6"/>
      <c r="L137" s="5"/>
      <c r="M137" s="6"/>
      <c r="N137" s="6"/>
      <c r="O137" s="6"/>
    </row>
    <row r="138" spans="1:15">
      <c r="A138" s="3" t="str">
        <f t="shared" si="4"/>
        <v/>
      </c>
      <c r="B138" s="3"/>
      <c r="C138" s="22"/>
      <c r="D138" s="4" t="str">
        <f>IF(C138="","",IFERROR(VLOOKUP(C138,'Calibrated Tools Register'!B:C,2,FALSE),"NOT registered"))</f>
        <v/>
      </c>
      <c r="E138" s="3"/>
      <c r="F138" s="4"/>
      <c r="G138" s="3"/>
      <c r="H138" s="3" t="str">
        <f ca="1">IFERROR(VLOOKUP(C138,'Calibrated Tools Register'!B:M,12,FALSE)-TODAY(),"")</f>
        <v/>
      </c>
      <c r="I138" s="3" t="str">
        <f t="shared" ca="1" si="5"/>
        <v/>
      </c>
      <c r="J138" s="3"/>
      <c r="K138" s="4"/>
      <c r="L138" s="3"/>
      <c r="M138" s="4"/>
      <c r="N138" s="4"/>
      <c r="O138" s="4"/>
    </row>
    <row r="139" spans="1:15">
      <c r="A139" s="3" t="str">
        <f t="shared" si="4"/>
        <v/>
      </c>
      <c r="B139" s="5"/>
      <c r="C139" s="23"/>
      <c r="D139" s="4" t="str">
        <f>IF(C139="","",IFERROR(VLOOKUP(C139,'Calibrated Tools Register'!B:C,2,FALSE),"NOT registered"))</f>
        <v/>
      </c>
      <c r="E139" s="5"/>
      <c r="F139" s="6"/>
      <c r="G139" s="5"/>
      <c r="H139" s="5" t="str">
        <f ca="1">IFERROR(VLOOKUP(C139,'Calibrated Tools Register'!B:M,12,FALSE)-TODAY(),"")</f>
        <v/>
      </c>
      <c r="I139" s="3" t="str">
        <f t="shared" ca="1" si="5"/>
        <v/>
      </c>
      <c r="J139" s="5"/>
      <c r="K139" s="6"/>
      <c r="L139" s="5"/>
      <c r="M139" s="6"/>
      <c r="N139" s="6"/>
      <c r="O139" s="6"/>
    </row>
    <row r="140" spans="1:15">
      <c r="A140" s="3" t="str">
        <f t="shared" si="4"/>
        <v/>
      </c>
      <c r="B140" s="3"/>
      <c r="C140" s="22"/>
      <c r="D140" s="4" t="str">
        <f>IF(C140="","",IFERROR(VLOOKUP(C140,'Calibrated Tools Register'!B:C,2,FALSE),"NOT registered"))</f>
        <v/>
      </c>
      <c r="E140" s="3"/>
      <c r="F140" s="4"/>
      <c r="G140" s="3"/>
      <c r="H140" s="3" t="str">
        <f ca="1">IFERROR(VLOOKUP(C140,'Calibrated Tools Register'!B:M,12,FALSE)-TODAY(),"")</f>
        <v/>
      </c>
      <c r="I140" s="3" t="str">
        <f t="shared" ca="1" si="5"/>
        <v/>
      </c>
      <c r="J140" s="3"/>
      <c r="K140" s="4"/>
      <c r="L140" s="3"/>
      <c r="M140" s="4"/>
      <c r="N140" s="4"/>
      <c r="O140" s="4"/>
    </row>
    <row r="141" spans="1:15">
      <c r="A141" s="3" t="str">
        <f t="shared" si="4"/>
        <v/>
      </c>
      <c r="B141" s="5"/>
      <c r="C141" s="23"/>
      <c r="D141" s="4" t="str">
        <f>IF(C141="","",IFERROR(VLOOKUP(C141,'Calibrated Tools Register'!B:C,2,FALSE),"NOT registered"))</f>
        <v/>
      </c>
      <c r="E141" s="5"/>
      <c r="F141" s="6"/>
      <c r="G141" s="5"/>
      <c r="H141" s="5" t="str">
        <f ca="1">IFERROR(VLOOKUP(C141,'Calibrated Tools Register'!B:M,12,FALSE)-TODAY(),"")</f>
        <v/>
      </c>
      <c r="I141" s="3" t="str">
        <f t="shared" ca="1" si="5"/>
        <v/>
      </c>
      <c r="J141" s="5"/>
      <c r="K141" s="6"/>
      <c r="L141" s="5"/>
      <c r="M141" s="6"/>
      <c r="N141" s="6"/>
      <c r="O141" s="6"/>
    </row>
    <row r="142" spans="1:15">
      <c r="A142" s="3" t="str">
        <f t="shared" si="4"/>
        <v/>
      </c>
      <c r="B142" s="3"/>
      <c r="C142" s="22"/>
      <c r="D142" s="4" t="str">
        <f>IF(C142="","",IFERROR(VLOOKUP(C142,'Calibrated Tools Register'!B:C,2,FALSE),"NOT registered"))</f>
        <v/>
      </c>
      <c r="E142" s="3"/>
      <c r="F142" s="4"/>
      <c r="G142" s="3"/>
      <c r="H142" s="3" t="str">
        <f ca="1">IFERROR(VLOOKUP(C142,'Calibrated Tools Register'!B:M,12,FALSE)-TODAY(),"")</f>
        <v/>
      </c>
      <c r="I142" s="3" t="str">
        <f t="shared" ca="1" si="5"/>
        <v/>
      </c>
      <c r="J142" s="3"/>
      <c r="K142" s="4"/>
      <c r="L142" s="3"/>
      <c r="M142" s="4"/>
      <c r="N142" s="4"/>
      <c r="O142" s="4"/>
    </row>
    <row r="143" spans="1:15">
      <c r="A143" s="3" t="str">
        <f t="shared" si="4"/>
        <v/>
      </c>
      <c r="B143" s="5"/>
      <c r="C143" s="23"/>
      <c r="D143" s="4" t="str">
        <f>IF(C143="","",IFERROR(VLOOKUP(C143,'Calibrated Tools Register'!B:C,2,FALSE),"NOT registered"))</f>
        <v/>
      </c>
      <c r="E143" s="5"/>
      <c r="F143" s="6"/>
      <c r="G143" s="5"/>
      <c r="H143" s="5" t="str">
        <f ca="1">IFERROR(VLOOKUP(C143,'Calibrated Tools Register'!B:M,12,FALSE)-TODAY(),"")</f>
        <v/>
      </c>
      <c r="I143" s="3" t="str">
        <f t="shared" ca="1" si="5"/>
        <v/>
      </c>
      <c r="J143" s="5"/>
      <c r="K143" s="6"/>
      <c r="L143" s="5"/>
      <c r="M143" s="6"/>
      <c r="N143" s="6"/>
      <c r="O143" s="6"/>
    </row>
    <row r="144" spans="1:15">
      <c r="A144" s="3" t="str">
        <f t="shared" si="4"/>
        <v/>
      </c>
      <c r="B144" s="3"/>
      <c r="C144" s="22"/>
      <c r="D144" s="4" t="str">
        <f>IF(C144="","",IFERROR(VLOOKUP(C144,'Calibrated Tools Register'!B:C,2,FALSE),"NOT registered"))</f>
        <v/>
      </c>
      <c r="E144" s="3"/>
      <c r="F144" s="4"/>
      <c r="G144" s="3"/>
      <c r="H144" s="3" t="str">
        <f ca="1">IFERROR(VLOOKUP(C144,'Calibrated Tools Register'!B:M,12,FALSE)-TODAY(),"")</f>
        <v/>
      </c>
      <c r="I144" s="3" t="str">
        <f t="shared" ca="1" si="5"/>
        <v/>
      </c>
      <c r="J144" s="3"/>
      <c r="K144" s="4"/>
      <c r="L144" s="3"/>
      <c r="M144" s="4"/>
      <c r="N144" s="4"/>
      <c r="O144" s="4"/>
    </row>
    <row r="145" spans="1:15">
      <c r="A145" s="3" t="str">
        <f t="shared" si="4"/>
        <v/>
      </c>
      <c r="B145" s="5"/>
      <c r="C145" s="23"/>
      <c r="D145" s="4" t="str">
        <f>IF(C145="","",IFERROR(VLOOKUP(C145,'Calibrated Tools Register'!B:C,2,FALSE),"NOT registered"))</f>
        <v/>
      </c>
      <c r="E145" s="5"/>
      <c r="F145" s="6"/>
      <c r="G145" s="5"/>
      <c r="H145" s="5" t="str">
        <f ca="1">IFERROR(VLOOKUP(C145,'Calibrated Tools Register'!B:M,12,FALSE)-TODAY(),"")</f>
        <v/>
      </c>
      <c r="I145" s="3" t="str">
        <f t="shared" ca="1" si="5"/>
        <v/>
      </c>
      <c r="J145" s="5"/>
      <c r="K145" s="6"/>
      <c r="L145" s="5"/>
      <c r="M145" s="6"/>
      <c r="N145" s="6"/>
      <c r="O145" s="6"/>
    </row>
    <row r="146" spans="1:15">
      <c r="A146" s="3" t="str">
        <f t="shared" si="4"/>
        <v/>
      </c>
      <c r="B146" s="3"/>
      <c r="C146" s="22"/>
      <c r="D146" s="4" t="str">
        <f>IF(C146="","",IFERROR(VLOOKUP(C146,'Calibrated Tools Register'!B:C,2,FALSE),"NOT registered"))</f>
        <v/>
      </c>
      <c r="E146" s="3"/>
      <c r="F146" s="4"/>
      <c r="G146" s="3"/>
      <c r="H146" s="3" t="str">
        <f ca="1">IFERROR(VLOOKUP(C146,'Calibrated Tools Register'!B:M,12,FALSE)-TODAY(),"")</f>
        <v/>
      </c>
      <c r="I146" s="3" t="str">
        <f t="shared" ca="1" si="5"/>
        <v/>
      </c>
      <c r="J146" s="3"/>
      <c r="K146" s="4"/>
      <c r="L146" s="3"/>
      <c r="M146" s="4"/>
      <c r="N146" s="4"/>
      <c r="O146" s="4"/>
    </row>
    <row r="147" spans="1:15">
      <c r="A147" s="3" t="str">
        <f t="shared" si="4"/>
        <v/>
      </c>
      <c r="B147" s="5"/>
      <c r="C147" s="23"/>
      <c r="D147" s="4" t="str">
        <f>IF(C147="","",IFERROR(VLOOKUP(C147,'Calibrated Tools Register'!B:C,2,FALSE),"NOT registered"))</f>
        <v/>
      </c>
      <c r="E147" s="5"/>
      <c r="F147" s="6"/>
      <c r="G147" s="5"/>
      <c r="H147" s="5" t="str">
        <f ca="1">IFERROR(VLOOKUP(C147,'Calibrated Tools Register'!B:M,12,FALSE)-TODAY(),"")</f>
        <v/>
      </c>
      <c r="I147" s="3" t="str">
        <f t="shared" ca="1" si="5"/>
        <v/>
      </c>
      <c r="J147" s="5"/>
      <c r="K147" s="6"/>
      <c r="L147" s="5"/>
      <c r="M147" s="6"/>
      <c r="N147" s="6"/>
      <c r="O147" s="6"/>
    </row>
    <row r="148" spans="1:15">
      <c r="A148" s="3" t="str">
        <f t="shared" si="4"/>
        <v/>
      </c>
      <c r="B148" s="3"/>
      <c r="C148" s="22"/>
      <c r="D148" s="4" t="str">
        <f>IF(C148="","",IFERROR(VLOOKUP(C148,'Calibrated Tools Register'!B:C,2,FALSE),"NOT registered"))</f>
        <v/>
      </c>
      <c r="E148" s="3"/>
      <c r="F148" s="4"/>
      <c r="G148" s="3"/>
      <c r="H148" s="3" t="str">
        <f ca="1">IFERROR(VLOOKUP(C148,'Calibrated Tools Register'!B:M,12,FALSE)-TODAY(),"")</f>
        <v/>
      </c>
      <c r="I148" s="3" t="str">
        <f t="shared" ca="1" si="5"/>
        <v/>
      </c>
      <c r="J148" s="3"/>
      <c r="K148" s="4"/>
      <c r="L148" s="3"/>
      <c r="M148" s="4"/>
      <c r="N148" s="4"/>
      <c r="O148" s="4"/>
    </row>
    <row r="149" spans="1:15">
      <c r="A149" s="3" t="str">
        <f t="shared" si="4"/>
        <v/>
      </c>
      <c r="B149" s="5"/>
      <c r="C149" s="23"/>
      <c r="D149" s="4" t="str">
        <f>IF(C149="","",IFERROR(VLOOKUP(C149,'Calibrated Tools Register'!B:C,2,FALSE),"NOT registered"))</f>
        <v/>
      </c>
      <c r="E149" s="5"/>
      <c r="F149" s="6"/>
      <c r="G149" s="5"/>
      <c r="H149" s="5" t="str">
        <f ca="1">IFERROR(VLOOKUP(C149,'Calibrated Tools Register'!B:M,12,FALSE)-TODAY(),"")</f>
        <v/>
      </c>
      <c r="I149" s="3" t="str">
        <f t="shared" ca="1" si="5"/>
        <v/>
      </c>
      <c r="J149" s="5"/>
      <c r="K149" s="6"/>
      <c r="L149" s="5"/>
      <c r="M149" s="6"/>
      <c r="N149" s="6"/>
      <c r="O149" s="6"/>
    </row>
    <row r="150" spans="1:15">
      <c r="A150" s="3" t="str">
        <f t="shared" si="4"/>
        <v/>
      </c>
      <c r="B150" s="3"/>
      <c r="C150" s="22"/>
      <c r="D150" s="4" t="str">
        <f>IF(C150="","",IFERROR(VLOOKUP(C150,'Calibrated Tools Register'!B:C,2,FALSE),"NOT registered"))</f>
        <v/>
      </c>
      <c r="E150" s="3"/>
      <c r="F150" s="4"/>
      <c r="G150" s="3"/>
      <c r="H150" s="3" t="str">
        <f ca="1">IFERROR(VLOOKUP(C150,'Calibrated Tools Register'!B:M,12,FALSE)-TODAY(),"")</f>
        <v/>
      </c>
      <c r="I150" s="3" t="str">
        <f t="shared" ca="1" si="5"/>
        <v/>
      </c>
      <c r="J150" s="3"/>
      <c r="K150" s="4"/>
      <c r="L150" s="3"/>
      <c r="M150" s="4"/>
      <c r="N150" s="4"/>
      <c r="O150" s="4"/>
    </row>
    <row r="151" spans="1:15">
      <c r="A151" s="3" t="str">
        <f t="shared" si="4"/>
        <v/>
      </c>
      <c r="B151" s="5"/>
      <c r="C151" s="23"/>
      <c r="D151" s="4" t="str">
        <f>IF(C151="","",IFERROR(VLOOKUP(C151,'Calibrated Tools Register'!B:C,2,FALSE),"NOT registered"))</f>
        <v/>
      </c>
      <c r="E151" s="5"/>
      <c r="F151" s="6"/>
      <c r="G151" s="5"/>
      <c r="H151" s="5" t="str">
        <f ca="1">IFERROR(VLOOKUP(C151,'Calibrated Tools Register'!B:M,12,FALSE)-TODAY(),"")</f>
        <v/>
      </c>
      <c r="I151" s="3" t="str">
        <f t="shared" ca="1" si="5"/>
        <v/>
      </c>
      <c r="J151" s="5"/>
      <c r="K151" s="6"/>
      <c r="L151" s="5"/>
      <c r="M151" s="6"/>
      <c r="N151" s="6"/>
      <c r="O151" s="6"/>
    </row>
    <row r="152" spans="1:15">
      <c r="A152" s="3" t="str">
        <f t="shared" si="4"/>
        <v/>
      </c>
      <c r="B152" s="3"/>
      <c r="C152" s="22"/>
      <c r="D152" s="4" t="str">
        <f>IF(C152="","",IFERROR(VLOOKUP(C152,'Calibrated Tools Register'!B:C,2,FALSE),"NOT registered"))</f>
        <v/>
      </c>
      <c r="E152" s="3"/>
      <c r="F152" s="4"/>
      <c r="G152" s="3"/>
      <c r="H152" s="3" t="str">
        <f ca="1">IFERROR(VLOOKUP(C152,'Calibrated Tools Register'!B:M,12,FALSE)-TODAY(),"")</f>
        <v/>
      </c>
      <c r="I152" s="3" t="str">
        <f t="shared" ca="1" si="5"/>
        <v/>
      </c>
      <c r="J152" s="3"/>
      <c r="K152" s="4"/>
      <c r="L152" s="3"/>
      <c r="M152" s="4"/>
      <c r="N152" s="4"/>
      <c r="O152" s="4"/>
    </row>
    <row r="153" spans="1:15">
      <c r="A153" s="3" t="str">
        <f t="shared" si="4"/>
        <v/>
      </c>
      <c r="B153" s="5"/>
      <c r="C153" s="23"/>
      <c r="D153" s="4" t="str">
        <f>IF(C153="","",IFERROR(VLOOKUP(C153,'Calibrated Tools Register'!B:C,2,FALSE),"NOT registered"))</f>
        <v/>
      </c>
      <c r="E153" s="5"/>
      <c r="F153" s="6"/>
      <c r="G153" s="5"/>
      <c r="H153" s="5" t="str">
        <f ca="1">IFERROR(VLOOKUP(C153,'Calibrated Tools Register'!B:M,12,FALSE)-TODAY(),"")</f>
        <v/>
      </c>
      <c r="I153" s="3" t="str">
        <f t="shared" ca="1" si="5"/>
        <v/>
      </c>
      <c r="J153" s="5"/>
      <c r="K153" s="6"/>
      <c r="L153" s="5"/>
      <c r="M153" s="6"/>
      <c r="N153" s="6"/>
      <c r="O153" s="6"/>
    </row>
    <row r="154" spans="1:15">
      <c r="A154" s="3" t="str">
        <f t="shared" si="4"/>
        <v/>
      </c>
      <c r="B154" s="3"/>
      <c r="C154" s="22"/>
      <c r="D154" s="4" t="str">
        <f>IF(C154="","",IFERROR(VLOOKUP(C154,'Calibrated Tools Register'!B:C,2,FALSE),"NOT registered"))</f>
        <v/>
      </c>
      <c r="E154" s="3"/>
      <c r="F154" s="4"/>
      <c r="G154" s="3"/>
      <c r="H154" s="3" t="str">
        <f ca="1">IFERROR(VLOOKUP(C154,'Calibrated Tools Register'!B:M,12,FALSE)-TODAY(),"")</f>
        <v/>
      </c>
      <c r="I154" s="3" t="str">
        <f t="shared" ca="1" si="5"/>
        <v/>
      </c>
      <c r="J154" s="3"/>
      <c r="K154" s="4"/>
      <c r="L154" s="3"/>
      <c r="M154" s="4"/>
      <c r="N154" s="4"/>
      <c r="O154" s="4"/>
    </row>
    <row r="155" spans="1:15">
      <c r="A155" s="3" t="str">
        <f t="shared" si="4"/>
        <v/>
      </c>
      <c r="B155" s="5"/>
      <c r="C155" s="23"/>
      <c r="D155" s="4" t="str">
        <f>IF(C155="","",IFERROR(VLOOKUP(C155,'Calibrated Tools Register'!B:C,2,FALSE),"NOT registered"))</f>
        <v/>
      </c>
      <c r="E155" s="5"/>
      <c r="F155" s="6"/>
      <c r="G155" s="5"/>
      <c r="H155" s="5" t="str">
        <f ca="1">IFERROR(VLOOKUP(C155,'Calibrated Tools Register'!B:M,12,FALSE)-TODAY(),"")</f>
        <v/>
      </c>
      <c r="I155" s="3" t="str">
        <f t="shared" ca="1" si="5"/>
        <v/>
      </c>
      <c r="J155" s="5"/>
      <c r="K155" s="6"/>
      <c r="L155" s="5"/>
      <c r="M155" s="6"/>
      <c r="N155" s="6"/>
      <c r="O155" s="6"/>
    </row>
    <row r="156" spans="1:15">
      <c r="A156" s="3" t="str">
        <f t="shared" si="4"/>
        <v/>
      </c>
      <c r="B156" s="3"/>
      <c r="C156" s="22"/>
      <c r="D156" s="4" t="str">
        <f>IF(C156="","",IFERROR(VLOOKUP(C156,'Calibrated Tools Register'!B:C,2,FALSE),"NOT registered"))</f>
        <v/>
      </c>
      <c r="E156" s="3"/>
      <c r="F156" s="4"/>
      <c r="G156" s="3"/>
      <c r="H156" s="3" t="str">
        <f ca="1">IFERROR(VLOOKUP(C156,'Calibrated Tools Register'!B:M,12,FALSE)-TODAY(),"")</f>
        <v/>
      </c>
      <c r="I156" s="3" t="str">
        <f t="shared" ca="1" si="5"/>
        <v/>
      </c>
      <c r="J156" s="3"/>
      <c r="K156" s="4"/>
      <c r="L156" s="3"/>
      <c r="M156" s="4"/>
      <c r="N156" s="4"/>
      <c r="O156" s="4"/>
    </row>
    <row r="157" spans="1:15">
      <c r="A157" s="3" t="str">
        <f t="shared" si="4"/>
        <v/>
      </c>
      <c r="B157" s="5"/>
      <c r="C157" s="23"/>
      <c r="D157" s="4" t="str">
        <f>IF(C157="","",IFERROR(VLOOKUP(C157,'Calibrated Tools Register'!B:C,2,FALSE),"NOT registered"))</f>
        <v/>
      </c>
      <c r="E157" s="5"/>
      <c r="F157" s="6"/>
      <c r="G157" s="5"/>
      <c r="H157" s="5" t="str">
        <f ca="1">IFERROR(VLOOKUP(C157,'Calibrated Tools Register'!B:M,12,FALSE)-TODAY(),"")</f>
        <v/>
      </c>
      <c r="I157" s="3" t="str">
        <f t="shared" ca="1" si="5"/>
        <v/>
      </c>
      <c r="J157" s="5"/>
      <c r="K157" s="6"/>
      <c r="L157" s="5"/>
      <c r="M157" s="6"/>
      <c r="N157" s="6"/>
      <c r="O157" s="6"/>
    </row>
    <row r="158" spans="1:15">
      <c r="A158" s="3" t="str">
        <f t="shared" si="4"/>
        <v/>
      </c>
      <c r="B158" s="3"/>
      <c r="C158" s="22"/>
      <c r="D158" s="4" t="str">
        <f>IF(C158="","",IFERROR(VLOOKUP(C158,'Calibrated Tools Register'!B:C,2,FALSE),"NOT registered"))</f>
        <v/>
      </c>
      <c r="E158" s="3"/>
      <c r="F158" s="4"/>
      <c r="G158" s="3"/>
      <c r="H158" s="3" t="str">
        <f ca="1">IFERROR(VLOOKUP(C158,'Calibrated Tools Register'!B:M,12,FALSE)-TODAY(),"")</f>
        <v/>
      </c>
      <c r="I158" s="3" t="str">
        <f t="shared" ca="1" si="5"/>
        <v/>
      </c>
      <c r="J158" s="3"/>
      <c r="K158" s="4"/>
      <c r="L158" s="3"/>
      <c r="M158" s="4"/>
      <c r="N158" s="4"/>
      <c r="O158" s="4"/>
    </row>
    <row r="159" spans="1:15">
      <c r="A159" s="3" t="str">
        <f t="shared" si="4"/>
        <v/>
      </c>
      <c r="B159" s="5"/>
      <c r="C159" s="23"/>
      <c r="D159" s="4" t="str">
        <f>IF(C159="","",IFERROR(VLOOKUP(C159,'Calibrated Tools Register'!B:C,2,FALSE),"NOT registered"))</f>
        <v/>
      </c>
      <c r="E159" s="5"/>
      <c r="F159" s="6"/>
      <c r="G159" s="5"/>
      <c r="H159" s="5" t="str">
        <f ca="1">IFERROR(VLOOKUP(C159,'Calibrated Tools Register'!B:M,12,FALSE)-TODAY(),"")</f>
        <v/>
      </c>
      <c r="I159" s="3" t="str">
        <f t="shared" ca="1" si="5"/>
        <v/>
      </c>
      <c r="J159" s="5"/>
      <c r="K159" s="6"/>
      <c r="L159" s="5"/>
      <c r="M159" s="6"/>
      <c r="N159" s="6"/>
      <c r="O159" s="6"/>
    </row>
    <row r="160" spans="1:15">
      <c r="A160" s="3" t="str">
        <f t="shared" si="4"/>
        <v/>
      </c>
      <c r="B160" s="3"/>
      <c r="C160" s="22"/>
      <c r="D160" s="4" t="str">
        <f>IF(C160="","",IFERROR(VLOOKUP(C160,'Calibrated Tools Register'!B:C,2,FALSE),"NOT registered"))</f>
        <v/>
      </c>
      <c r="E160" s="3"/>
      <c r="F160" s="4"/>
      <c r="G160" s="3"/>
      <c r="H160" s="3" t="str">
        <f ca="1">IFERROR(VLOOKUP(C160,'Calibrated Tools Register'!B:M,12,FALSE)-TODAY(),"")</f>
        <v/>
      </c>
      <c r="I160" s="3" t="str">
        <f t="shared" ca="1" si="5"/>
        <v/>
      </c>
      <c r="J160" s="3"/>
      <c r="K160" s="4"/>
      <c r="L160" s="3"/>
      <c r="M160" s="4"/>
      <c r="N160" s="4"/>
      <c r="O160" s="4"/>
    </row>
    <row r="161" spans="1:15">
      <c r="A161" s="3" t="str">
        <f t="shared" si="4"/>
        <v/>
      </c>
      <c r="B161" s="5"/>
      <c r="C161" s="23"/>
      <c r="D161" s="4" t="str">
        <f>IF(C161="","",IFERROR(VLOOKUP(C161,'Calibrated Tools Register'!B:C,2,FALSE),"NOT registered"))</f>
        <v/>
      </c>
      <c r="E161" s="5"/>
      <c r="F161" s="6"/>
      <c r="G161" s="5"/>
      <c r="H161" s="5" t="str">
        <f ca="1">IFERROR(VLOOKUP(C161,'Calibrated Tools Register'!B:M,12,FALSE)-TODAY(),"")</f>
        <v/>
      </c>
      <c r="I161" s="3" t="str">
        <f t="shared" ca="1" si="5"/>
        <v/>
      </c>
      <c r="J161" s="5"/>
      <c r="K161" s="6"/>
      <c r="L161" s="5"/>
      <c r="M161" s="6"/>
      <c r="N161" s="6"/>
      <c r="O161" s="6"/>
    </row>
    <row r="162" spans="1:15">
      <c r="A162" s="3" t="str">
        <f t="shared" si="4"/>
        <v/>
      </c>
      <c r="B162" s="3"/>
      <c r="C162" s="22"/>
      <c r="D162" s="4" t="str">
        <f>IF(C162="","",IFERROR(VLOOKUP(C162,'Calibrated Tools Register'!B:C,2,FALSE),"NOT registered"))</f>
        <v/>
      </c>
      <c r="E162" s="3"/>
      <c r="F162" s="4"/>
      <c r="G162" s="3"/>
      <c r="H162" s="3" t="str">
        <f ca="1">IFERROR(VLOOKUP(C162,'Calibrated Tools Register'!B:M,12,FALSE)-TODAY(),"")</f>
        <v/>
      </c>
      <c r="I162" s="3" t="str">
        <f t="shared" ca="1" si="5"/>
        <v/>
      </c>
      <c r="J162" s="3"/>
      <c r="K162" s="4"/>
      <c r="L162" s="3"/>
      <c r="M162" s="4"/>
      <c r="N162" s="4"/>
      <c r="O162" s="4"/>
    </row>
    <row r="163" spans="1:15">
      <c r="A163" s="3" t="str">
        <f t="shared" si="4"/>
        <v/>
      </c>
      <c r="B163" s="5"/>
      <c r="C163" s="23"/>
      <c r="D163" s="4" t="str">
        <f>IF(C163="","",IFERROR(VLOOKUP(C163,'Calibrated Tools Register'!B:C,2,FALSE),"NOT registered"))</f>
        <v/>
      </c>
      <c r="E163" s="5"/>
      <c r="F163" s="6"/>
      <c r="G163" s="5"/>
      <c r="H163" s="5" t="str">
        <f ca="1">IFERROR(VLOOKUP(C163,'Calibrated Tools Register'!B:M,12,FALSE)-TODAY(),"")</f>
        <v/>
      </c>
      <c r="I163" s="3" t="str">
        <f t="shared" ca="1" si="5"/>
        <v/>
      </c>
      <c r="J163" s="5"/>
      <c r="K163" s="6"/>
      <c r="L163" s="5"/>
      <c r="M163" s="6"/>
      <c r="N163" s="6"/>
      <c r="O163" s="6"/>
    </row>
    <row r="164" spans="1:15">
      <c r="A164" s="3" t="str">
        <f t="shared" si="4"/>
        <v/>
      </c>
      <c r="B164" s="3"/>
      <c r="C164" s="22"/>
      <c r="D164" s="4" t="str">
        <f>IF(C164="","",IFERROR(VLOOKUP(C164,'Calibrated Tools Register'!B:C,2,FALSE),"NOT registered"))</f>
        <v/>
      </c>
      <c r="E164" s="3"/>
      <c r="F164" s="4"/>
      <c r="G164" s="3"/>
      <c r="H164" s="3" t="str">
        <f ca="1">IFERROR(VLOOKUP(C164,'Calibrated Tools Register'!B:M,12,FALSE)-TODAY(),"")</f>
        <v/>
      </c>
      <c r="I164" s="3" t="str">
        <f t="shared" ca="1" si="5"/>
        <v/>
      </c>
      <c r="J164" s="3"/>
      <c r="K164" s="4"/>
      <c r="L164" s="3"/>
      <c r="M164" s="4"/>
      <c r="N164" s="4"/>
      <c r="O164" s="4"/>
    </row>
    <row r="165" spans="1:15">
      <c r="A165" s="3" t="str">
        <f t="shared" si="4"/>
        <v/>
      </c>
      <c r="B165" s="5"/>
      <c r="C165" s="23"/>
      <c r="D165" s="4" t="str">
        <f>IF(C165="","",IFERROR(VLOOKUP(C165,'Calibrated Tools Register'!B:C,2,FALSE),"NOT registered"))</f>
        <v/>
      </c>
      <c r="E165" s="5"/>
      <c r="F165" s="6"/>
      <c r="G165" s="5"/>
      <c r="H165" s="5" t="str">
        <f ca="1">IFERROR(VLOOKUP(C165,'Calibrated Tools Register'!B:M,12,FALSE)-TODAY(),"")</f>
        <v/>
      </c>
      <c r="I165" s="3" t="str">
        <f t="shared" ca="1" si="5"/>
        <v/>
      </c>
      <c r="J165" s="5"/>
      <c r="K165" s="6"/>
      <c r="L165" s="5"/>
      <c r="M165" s="6"/>
      <c r="N165" s="6"/>
      <c r="O165" s="6"/>
    </row>
    <row r="166" spans="1:15">
      <c r="A166" s="3" t="str">
        <f t="shared" si="4"/>
        <v/>
      </c>
      <c r="B166" s="3"/>
      <c r="C166" s="22"/>
      <c r="D166" s="4" t="str">
        <f>IF(C166="","",IFERROR(VLOOKUP(C166,'Calibrated Tools Register'!B:C,2,FALSE),"NOT registered"))</f>
        <v/>
      </c>
      <c r="E166" s="3"/>
      <c r="F166" s="4"/>
      <c r="G166" s="3"/>
      <c r="H166" s="3" t="str">
        <f ca="1">IFERROR(VLOOKUP(C166,'Calibrated Tools Register'!B:M,12,FALSE)-TODAY(),"")</f>
        <v/>
      </c>
      <c r="I166" s="3" t="str">
        <f t="shared" ca="1" si="5"/>
        <v/>
      </c>
      <c r="J166" s="3"/>
      <c r="K166" s="4"/>
      <c r="L166" s="3"/>
      <c r="M166" s="4"/>
      <c r="N166" s="4"/>
      <c r="O166" s="4"/>
    </row>
    <row r="167" spans="1:15">
      <c r="A167" s="3" t="str">
        <f t="shared" si="4"/>
        <v/>
      </c>
      <c r="B167" s="5"/>
      <c r="C167" s="23"/>
      <c r="D167" s="4" t="str">
        <f>IF(C167="","",IFERROR(VLOOKUP(C167,'Calibrated Tools Register'!B:C,2,FALSE),"NOT registered"))</f>
        <v/>
      </c>
      <c r="E167" s="5"/>
      <c r="F167" s="6"/>
      <c r="G167" s="5"/>
      <c r="H167" s="5" t="str">
        <f ca="1">IFERROR(VLOOKUP(C167,'Calibrated Tools Register'!B:M,12,FALSE)-TODAY(),"")</f>
        <v/>
      </c>
      <c r="I167" s="3" t="str">
        <f t="shared" ca="1" si="5"/>
        <v/>
      </c>
      <c r="J167" s="5"/>
      <c r="K167" s="6"/>
      <c r="L167" s="5"/>
      <c r="M167" s="6"/>
      <c r="N167" s="6"/>
      <c r="O167" s="6"/>
    </row>
    <row r="168" spans="1:15">
      <c r="A168" s="3" t="str">
        <f t="shared" si="4"/>
        <v/>
      </c>
      <c r="B168" s="3"/>
      <c r="C168" s="22"/>
      <c r="D168" s="4" t="str">
        <f>IF(C168="","",IFERROR(VLOOKUP(C168,'Calibrated Tools Register'!B:C,2,FALSE),"NOT registered"))</f>
        <v/>
      </c>
      <c r="E168" s="3"/>
      <c r="F168" s="4"/>
      <c r="G168" s="3"/>
      <c r="H168" s="3" t="str">
        <f ca="1">IFERROR(VLOOKUP(C168,'Calibrated Tools Register'!B:M,12,FALSE)-TODAY(),"")</f>
        <v/>
      </c>
      <c r="I168" s="3" t="str">
        <f t="shared" ca="1" si="5"/>
        <v/>
      </c>
      <c r="J168" s="3"/>
      <c r="K168" s="4"/>
      <c r="L168" s="3"/>
      <c r="M168" s="4"/>
      <c r="N168" s="4"/>
      <c r="O168" s="4"/>
    </row>
    <row r="169" spans="1:15">
      <c r="A169" s="3" t="str">
        <f t="shared" si="4"/>
        <v/>
      </c>
      <c r="B169" s="5"/>
      <c r="C169" s="23"/>
      <c r="D169" s="4" t="str">
        <f>IF(C169="","",IFERROR(VLOOKUP(C169,'Calibrated Tools Register'!B:C,2,FALSE),"NOT registered"))</f>
        <v/>
      </c>
      <c r="E169" s="5"/>
      <c r="F169" s="6"/>
      <c r="G169" s="5"/>
      <c r="H169" s="5" t="str">
        <f ca="1">IFERROR(VLOOKUP(C169,'Calibrated Tools Register'!B:M,12,FALSE)-TODAY(),"")</f>
        <v/>
      </c>
      <c r="I169" s="3" t="str">
        <f t="shared" ca="1" si="5"/>
        <v/>
      </c>
      <c r="J169" s="5"/>
      <c r="K169" s="6"/>
      <c r="L169" s="5"/>
      <c r="M169" s="6"/>
      <c r="N169" s="6"/>
      <c r="O169" s="6"/>
    </row>
    <row r="170" spans="1:15">
      <c r="A170" s="3" t="str">
        <f t="shared" si="4"/>
        <v/>
      </c>
      <c r="B170" s="3"/>
      <c r="C170" s="22"/>
      <c r="D170" s="4" t="str">
        <f>IF(C170="","",IFERROR(VLOOKUP(C170,'Calibrated Tools Register'!B:C,2,FALSE),"NOT registered"))</f>
        <v/>
      </c>
      <c r="E170" s="3"/>
      <c r="F170" s="4"/>
      <c r="G170" s="3"/>
      <c r="H170" s="3" t="str">
        <f ca="1">IFERROR(VLOOKUP(C170,'Calibrated Tools Register'!B:M,12,FALSE)-TODAY(),"")</f>
        <v/>
      </c>
      <c r="I170" s="3" t="str">
        <f t="shared" ca="1" si="5"/>
        <v/>
      </c>
      <c r="J170" s="3"/>
      <c r="K170" s="4"/>
      <c r="L170" s="3"/>
      <c r="M170" s="4"/>
      <c r="N170" s="4"/>
      <c r="O170" s="4"/>
    </row>
    <row r="171" spans="1:15">
      <c r="A171" s="3" t="str">
        <f t="shared" si="4"/>
        <v/>
      </c>
      <c r="B171" s="5"/>
      <c r="C171" s="23"/>
      <c r="D171" s="4" t="str">
        <f>IF(C171="","",IFERROR(VLOOKUP(C171,'Calibrated Tools Register'!B:C,2,FALSE),"NOT registered"))</f>
        <v/>
      </c>
      <c r="E171" s="5"/>
      <c r="F171" s="6"/>
      <c r="G171" s="5"/>
      <c r="H171" s="5" t="str">
        <f ca="1">IFERROR(VLOOKUP(C171,'Calibrated Tools Register'!B:M,12,FALSE)-TODAY(),"")</f>
        <v/>
      </c>
      <c r="I171" s="3" t="str">
        <f t="shared" ca="1" si="5"/>
        <v/>
      </c>
      <c r="J171" s="5"/>
      <c r="K171" s="6"/>
      <c r="L171" s="5"/>
      <c r="M171" s="6"/>
      <c r="N171" s="6"/>
      <c r="O171" s="6"/>
    </row>
    <row r="172" spans="1:15">
      <c r="A172" s="3" t="str">
        <f t="shared" si="4"/>
        <v/>
      </c>
      <c r="B172" s="3"/>
      <c r="C172" s="22"/>
      <c r="D172" s="4" t="str">
        <f>IF(C172="","",IFERROR(VLOOKUP(C172,'Calibrated Tools Register'!B:C,2,FALSE),"NOT registered"))</f>
        <v/>
      </c>
      <c r="E172" s="3"/>
      <c r="F172" s="4"/>
      <c r="G172" s="3"/>
      <c r="H172" s="3" t="str">
        <f ca="1">IFERROR(VLOOKUP(C172,'Calibrated Tools Register'!B:M,12,FALSE)-TODAY(),"")</f>
        <v/>
      </c>
      <c r="I172" s="3" t="str">
        <f t="shared" ca="1" si="5"/>
        <v/>
      </c>
      <c r="J172" s="3"/>
      <c r="K172" s="4"/>
      <c r="L172" s="3"/>
      <c r="M172" s="4"/>
      <c r="N172" s="4"/>
      <c r="O172" s="4"/>
    </row>
    <row r="173" spans="1:15">
      <c r="A173" s="3" t="str">
        <f t="shared" si="4"/>
        <v/>
      </c>
      <c r="B173" s="5"/>
      <c r="C173" s="23"/>
      <c r="D173" s="4" t="str">
        <f>IF(C173="","",IFERROR(VLOOKUP(C173,'Calibrated Tools Register'!B:C,2,FALSE),"NOT registered"))</f>
        <v/>
      </c>
      <c r="E173" s="5"/>
      <c r="F173" s="6"/>
      <c r="G173" s="5"/>
      <c r="H173" s="5" t="str">
        <f ca="1">IFERROR(VLOOKUP(C173,'Calibrated Tools Register'!B:M,12,FALSE)-TODAY(),"")</f>
        <v/>
      </c>
      <c r="I173" s="3" t="str">
        <f t="shared" ca="1" si="5"/>
        <v/>
      </c>
      <c r="J173" s="5"/>
      <c r="K173" s="6"/>
      <c r="L173" s="5"/>
      <c r="M173" s="6"/>
      <c r="N173" s="6"/>
      <c r="O173" s="6"/>
    </row>
    <row r="174" spans="1:15">
      <c r="A174" s="3" t="str">
        <f t="shared" si="4"/>
        <v/>
      </c>
      <c r="B174" s="3"/>
      <c r="C174" s="22"/>
      <c r="D174" s="4" t="str">
        <f>IF(C174="","",IFERROR(VLOOKUP(C174,'Calibrated Tools Register'!B:C,2,FALSE),"NOT registered"))</f>
        <v/>
      </c>
      <c r="E174" s="3"/>
      <c r="F174" s="4"/>
      <c r="G174" s="3"/>
      <c r="H174" s="3" t="str">
        <f ca="1">IFERROR(VLOOKUP(C174,'Calibrated Tools Register'!B:M,12,FALSE)-TODAY(),"")</f>
        <v/>
      </c>
      <c r="I174" s="3" t="str">
        <f t="shared" ca="1" si="5"/>
        <v/>
      </c>
      <c r="J174" s="3"/>
      <c r="K174" s="4"/>
      <c r="L174" s="3"/>
      <c r="M174" s="4"/>
      <c r="N174" s="4"/>
      <c r="O174" s="4"/>
    </row>
    <row r="175" spans="1:15">
      <c r="A175" s="3" t="str">
        <f t="shared" si="4"/>
        <v/>
      </c>
      <c r="B175" s="5"/>
      <c r="C175" s="23"/>
      <c r="D175" s="4" t="str">
        <f>IF(C175="","",IFERROR(VLOOKUP(C175,'Calibrated Tools Register'!B:C,2,FALSE),"NOT registered"))</f>
        <v/>
      </c>
      <c r="E175" s="5"/>
      <c r="F175" s="6"/>
      <c r="G175" s="5"/>
      <c r="H175" s="5" t="str">
        <f ca="1">IFERROR(VLOOKUP(C175,'Calibrated Tools Register'!B:M,12,FALSE)-TODAY(),"")</f>
        <v/>
      </c>
      <c r="I175" s="3" t="str">
        <f t="shared" ca="1" si="5"/>
        <v/>
      </c>
      <c r="J175" s="5"/>
      <c r="K175" s="6"/>
      <c r="L175" s="5"/>
      <c r="M175" s="6"/>
      <c r="N175" s="6"/>
      <c r="O175" s="6"/>
    </row>
    <row r="176" spans="1:15">
      <c r="A176" s="3" t="str">
        <f t="shared" si="4"/>
        <v/>
      </c>
      <c r="B176" s="3"/>
      <c r="C176" s="22"/>
      <c r="D176" s="4" t="str">
        <f>IF(C176="","",IFERROR(VLOOKUP(C176,'Calibrated Tools Register'!B:C,2,FALSE),"NOT registered"))</f>
        <v/>
      </c>
      <c r="E176" s="3"/>
      <c r="F176" s="4"/>
      <c r="G176" s="3"/>
      <c r="H176" s="3" t="str">
        <f ca="1">IFERROR(VLOOKUP(C176,'Calibrated Tools Register'!B:M,12,FALSE)-TODAY(),"")</f>
        <v/>
      </c>
      <c r="I176" s="3" t="str">
        <f t="shared" ca="1" si="5"/>
        <v/>
      </c>
      <c r="J176" s="3"/>
      <c r="K176" s="4"/>
      <c r="L176" s="3"/>
      <c r="M176" s="4"/>
      <c r="N176" s="4"/>
      <c r="O176" s="4"/>
    </row>
    <row r="177" spans="1:15">
      <c r="A177" s="3" t="str">
        <f t="shared" si="4"/>
        <v/>
      </c>
      <c r="B177" s="5"/>
      <c r="C177" s="23"/>
      <c r="D177" s="4" t="str">
        <f>IF(C177="","",IFERROR(VLOOKUP(C177,'Calibrated Tools Register'!B:C,2,FALSE),"NOT registered"))</f>
        <v/>
      </c>
      <c r="E177" s="5"/>
      <c r="F177" s="6"/>
      <c r="G177" s="5"/>
      <c r="H177" s="5" t="str">
        <f ca="1">IFERROR(VLOOKUP(C177,'Calibrated Tools Register'!B:M,12,FALSE)-TODAY(),"")</f>
        <v/>
      </c>
      <c r="I177" s="3" t="str">
        <f t="shared" ca="1" si="5"/>
        <v/>
      </c>
      <c r="J177" s="5"/>
      <c r="K177" s="6"/>
      <c r="L177" s="5"/>
      <c r="M177" s="6"/>
      <c r="N177" s="6"/>
      <c r="O177" s="6"/>
    </row>
    <row r="178" spans="1:15">
      <c r="A178" s="3" t="str">
        <f t="shared" si="4"/>
        <v/>
      </c>
      <c r="B178" s="3"/>
      <c r="C178" s="22"/>
      <c r="D178" s="4" t="str">
        <f>IF(C178="","",IFERROR(VLOOKUP(C178,'Calibrated Tools Register'!B:C,2,FALSE),"NOT registered"))</f>
        <v/>
      </c>
      <c r="E178" s="3"/>
      <c r="F178" s="4"/>
      <c r="G178" s="3"/>
      <c r="H178" s="3" t="str">
        <f ca="1">IFERROR(VLOOKUP(C178,'Calibrated Tools Register'!B:M,12,FALSE)-TODAY(),"")</f>
        <v/>
      </c>
      <c r="I178" s="3" t="str">
        <f t="shared" ca="1" si="5"/>
        <v/>
      </c>
      <c r="J178" s="3"/>
      <c r="K178" s="4"/>
      <c r="L178" s="3"/>
      <c r="M178" s="4"/>
      <c r="N178" s="4"/>
      <c r="O178" s="4"/>
    </row>
    <row r="179" spans="1:15">
      <c r="A179" s="3" t="str">
        <f t="shared" si="4"/>
        <v/>
      </c>
      <c r="B179" s="5"/>
      <c r="C179" s="23"/>
      <c r="D179" s="4" t="str">
        <f>IF(C179="","",IFERROR(VLOOKUP(C179,'Calibrated Tools Register'!B:C,2,FALSE),"NOT registered"))</f>
        <v/>
      </c>
      <c r="E179" s="5"/>
      <c r="F179" s="6"/>
      <c r="G179" s="5"/>
      <c r="H179" s="5" t="str">
        <f ca="1">IFERROR(VLOOKUP(C179,'Calibrated Tools Register'!B:M,12,FALSE)-TODAY(),"")</f>
        <v/>
      </c>
      <c r="I179" s="3" t="str">
        <f t="shared" ca="1" si="5"/>
        <v/>
      </c>
      <c r="J179" s="5"/>
      <c r="K179" s="6"/>
      <c r="L179" s="5"/>
      <c r="M179" s="6"/>
      <c r="N179" s="6"/>
      <c r="O179" s="6"/>
    </row>
    <row r="180" spans="1:15">
      <c r="A180" s="3" t="str">
        <f t="shared" si="4"/>
        <v/>
      </c>
      <c r="B180" s="3"/>
      <c r="C180" s="22"/>
      <c r="D180" s="4" t="str">
        <f>IF(C180="","",IFERROR(VLOOKUP(C180,'Calibrated Tools Register'!B:C,2,FALSE),"NOT registered"))</f>
        <v/>
      </c>
      <c r="E180" s="3"/>
      <c r="F180" s="4"/>
      <c r="G180" s="3"/>
      <c r="H180" s="3" t="str">
        <f ca="1">IFERROR(VLOOKUP(C180,'Calibrated Tools Register'!B:M,12,FALSE)-TODAY(),"")</f>
        <v/>
      </c>
      <c r="I180" s="3" t="str">
        <f t="shared" ca="1" si="5"/>
        <v/>
      </c>
      <c r="J180" s="3"/>
      <c r="K180" s="4"/>
      <c r="L180" s="3"/>
      <c r="M180" s="4"/>
      <c r="N180" s="4"/>
      <c r="O180" s="4"/>
    </row>
    <row r="181" spans="1:15">
      <c r="A181" s="3" t="str">
        <f t="shared" si="4"/>
        <v/>
      </c>
      <c r="B181" s="5"/>
      <c r="C181" s="23"/>
      <c r="D181" s="4" t="str">
        <f>IF(C181="","",IFERROR(VLOOKUP(C181,'Calibrated Tools Register'!B:C,2,FALSE),"NOT registered"))</f>
        <v/>
      </c>
      <c r="E181" s="5"/>
      <c r="F181" s="6"/>
      <c r="G181" s="5"/>
      <c r="H181" s="5" t="str">
        <f ca="1">IFERROR(VLOOKUP(C181,'Calibrated Tools Register'!B:M,12,FALSE)-TODAY(),"")</f>
        <v/>
      </c>
      <c r="I181" s="3" t="str">
        <f t="shared" ca="1" si="5"/>
        <v/>
      </c>
      <c r="J181" s="5"/>
      <c r="K181" s="6"/>
      <c r="L181" s="5"/>
      <c r="M181" s="6"/>
      <c r="N181" s="6"/>
      <c r="O181" s="6"/>
    </row>
    <row r="182" spans="1:15">
      <c r="A182" s="3" t="str">
        <f t="shared" si="4"/>
        <v/>
      </c>
      <c r="B182" s="3"/>
      <c r="C182" s="22"/>
      <c r="D182" s="4" t="str">
        <f>IF(C182="","",IFERROR(VLOOKUP(C182,'Calibrated Tools Register'!B:C,2,FALSE),"NOT registered"))</f>
        <v/>
      </c>
      <c r="E182" s="3"/>
      <c r="F182" s="4"/>
      <c r="G182" s="3"/>
      <c r="H182" s="3" t="str">
        <f ca="1">IFERROR(VLOOKUP(C182,'Calibrated Tools Register'!B:M,12,FALSE)-TODAY(),"")</f>
        <v/>
      </c>
      <c r="I182" s="3" t="str">
        <f t="shared" ca="1" si="5"/>
        <v/>
      </c>
      <c r="J182" s="3"/>
      <c r="K182" s="4"/>
      <c r="L182" s="3"/>
      <c r="M182" s="4"/>
      <c r="N182" s="4"/>
      <c r="O182" s="4"/>
    </row>
    <row r="183" spans="1:15">
      <c r="A183" s="3" t="str">
        <f t="shared" si="4"/>
        <v/>
      </c>
      <c r="B183" s="5"/>
      <c r="C183" s="23"/>
      <c r="D183" s="4" t="str">
        <f>IF(C183="","",IFERROR(VLOOKUP(C183,'Calibrated Tools Register'!B:C,2,FALSE),"NOT registered"))</f>
        <v/>
      </c>
      <c r="E183" s="5"/>
      <c r="F183" s="6"/>
      <c r="G183" s="5"/>
      <c r="H183" s="5" t="str">
        <f ca="1">IFERROR(VLOOKUP(C183,'Calibrated Tools Register'!B:M,12,FALSE)-TODAY(),"")</f>
        <v/>
      </c>
      <c r="I183" s="3" t="str">
        <f t="shared" ca="1" si="5"/>
        <v/>
      </c>
      <c r="J183" s="5"/>
      <c r="K183" s="6"/>
      <c r="L183" s="5"/>
      <c r="M183" s="6"/>
      <c r="N183" s="6"/>
      <c r="O183" s="6"/>
    </row>
    <row r="184" spans="1:15">
      <c r="A184" s="3" t="str">
        <f t="shared" si="4"/>
        <v/>
      </c>
      <c r="B184" s="3"/>
      <c r="C184" s="22"/>
      <c r="D184" s="4" t="str">
        <f>IF(C184="","",IFERROR(VLOOKUP(C184,'Calibrated Tools Register'!B:C,2,FALSE),"NOT registered"))</f>
        <v/>
      </c>
      <c r="E184" s="3"/>
      <c r="F184" s="4"/>
      <c r="G184" s="3"/>
      <c r="H184" s="3" t="str">
        <f ca="1">IFERROR(VLOOKUP(C184,'Calibrated Tools Register'!B:M,12,FALSE)-TODAY(),"")</f>
        <v/>
      </c>
      <c r="I184" s="3" t="str">
        <f t="shared" ca="1" si="5"/>
        <v/>
      </c>
      <c r="J184" s="3"/>
      <c r="K184" s="4"/>
      <c r="L184" s="3"/>
      <c r="M184" s="4"/>
      <c r="N184" s="4"/>
      <c r="O184" s="4"/>
    </row>
    <row r="185" spans="1:15">
      <c r="A185" s="3" t="str">
        <f t="shared" si="4"/>
        <v/>
      </c>
      <c r="B185" s="5"/>
      <c r="C185" s="23"/>
      <c r="D185" s="4" t="str">
        <f>IF(C185="","",IFERROR(VLOOKUP(C185,'Calibrated Tools Register'!B:C,2,FALSE),"NOT registered"))</f>
        <v/>
      </c>
      <c r="E185" s="5"/>
      <c r="F185" s="6"/>
      <c r="G185" s="5"/>
      <c r="H185" s="5" t="str">
        <f ca="1">IFERROR(VLOOKUP(C185,'Calibrated Tools Register'!B:M,12,FALSE)-TODAY(),"")</f>
        <v/>
      </c>
      <c r="I185" s="3" t="str">
        <f t="shared" ca="1" si="5"/>
        <v/>
      </c>
      <c r="J185" s="5"/>
      <c r="K185" s="6"/>
      <c r="L185" s="5"/>
      <c r="M185" s="6"/>
      <c r="N185" s="6"/>
      <c r="O185" s="6"/>
    </row>
    <row r="186" spans="1:15">
      <c r="A186" s="3" t="str">
        <f t="shared" si="4"/>
        <v/>
      </c>
      <c r="B186" s="3"/>
      <c r="C186" s="22"/>
      <c r="D186" s="4" t="str">
        <f>IF(C186="","",IFERROR(VLOOKUP(C186,'Calibrated Tools Register'!B:C,2,FALSE),"NOT registered"))</f>
        <v/>
      </c>
      <c r="E186" s="3"/>
      <c r="F186" s="4"/>
      <c r="G186" s="3"/>
      <c r="H186" s="3" t="str">
        <f ca="1">IFERROR(VLOOKUP(C186,'Calibrated Tools Register'!B:M,12,FALSE)-TODAY(),"")</f>
        <v/>
      </c>
      <c r="I186" s="3" t="str">
        <f t="shared" ca="1" si="5"/>
        <v/>
      </c>
      <c r="J186" s="3"/>
      <c r="K186" s="4"/>
      <c r="L186" s="3"/>
      <c r="M186" s="4"/>
      <c r="N186" s="4"/>
      <c r="O186" s="4"/>
    </row>
    <row r="187" spans="1:15">
      <c r="A187" s="3" t="str">
        <f t="shared" si="4"/>
        <v/>
      </c>
      <c r="B187" s="5"/>
      <c r="C187" s="23"/>
      <c r="D187" s="4" t="str">
        <f>IF(C187="","",IFERROR(VLOOKUP(C187,'Calibrated Tools Register'!B:C,2,FALSE),"NOT registered"))</f>
        <v/>
      </c>
      <c r="E187" s="5"/>
      <c r="F187" s="6"/>
      <c r="G187" s="5"/>
      <c r="H187" s="5" t="str">
        <f ca="1">IFERROR(VLOOKUP(C187,'Calibrated Tools Register'!B:M,12,FALSE)-TODAY(),"")</f>
        <v/>
      </c>
      <c r="I187" s="3" t="str">
        <f t="shared" ca="1" si="5"/>
        <v/>
      </c>
      <c r="J187" s="5"/>
      <c r="K187" s="6"/>
      <c r="L187" s="5"/>
      <c r="M187" s="6"/>
      <c r="N187" s="6"/>
      <c r="O187" s="6"/>
    </row>
    <row r="188" spans="1:15">
      <c r="A188" s="3" t="str">
        <f t="shared" si="4"/>
        <v/>
      </c>
      <c r="B188" s="3"/>
      <c r="C188" s="22"/>
      <c r="D188" s="4" t="str">
        <f>IF(C188="","",IFERROR(VLOOKUP(C188,'Calibrated Tools Register'!B:C,2,FALSE),"NOT registered"))</f>
        <v/>
      </c>
      <c r="E188" s="3"/>
      <c r="F188" s="4"/>
      <c r="G188" s="3"/>
      <c r="H188" s="3" t="str">
        <f ca="1">IFERROR(VLOOKUP(C188,'Calibrated Tools Register'!B:M,12,FALSE)-TODAY(),"")</f>
        <v/>
      </c>
      <c r="I188" s="3" t="str">
        <f t="shared" ca="1" si="5"/>
        <v/>
      </c>
      <c r="J188" s="3"/>
      <c r="K188" s="4"/>
      <c r="L188" s="3"/>
      <c r="M188" s="4"/>
      <c r="N188" s="4"/>
      <c r="O188" s="4"/>
    </row>
    <row r="189" spans="1:15">
      <c r="A189" s="3" t="str">
        <f t="shared" si="4"/>
        <v/>
      </c>
      <c r="B189" s="5"/>
      <c r="C189" s="23"/>
      <c r="D189" s="4" t="str">
        <f>IF(C189="","",IFERROR(VLOOKUP(C189,'Calibrated Tools Register'!B:C,2,FALSE),"NOT registered"))</f>
        <v/>
      </c>
      <c r="E189" s="5"/>
      <c r="F189" s="6"/>
      <c r="G189" s="5"/>
      <c r="H189" s="5" t="str">
        <f ca="1">IFERROR(VLOOKUP(C189,'Calibrated Tools Register'!B:M,12,FALSE)-TODAY(),"")</f>
        <v/>
      </c>
      <c r="I189" s="3" t="str">
        <f t="shared" ca="1" si="5"/>
        <v/>
      </c>
      <c r="J189" s="5"/>
      <c r="K189" s="6"/>
      <c r="L189" s="5"/>
      <c r="M189" s="6"/>
      <c r="N189" s="6"/>
      <c r="O189" s="6"/>
    </row>
    <row r="190" spans="1:15">
      <c r="A190" s="3" t="str">
        <f t="shared" si="4"/>
        <v/>
      </c>
      <c r="B190" s="3"/>
      <c r="C190" s="22"/>
      <c r="D190" s="4" t="str">
        <f>IF(C190="","",IFERROR(VLOOKUP(C190,'Calibrated Tools Register'!B:C,2,FALSE),"NOT registered"))</f>
        <v/>
      </c>
      <c r="E190" s="3"/>
      <c r="F190" s="4"/>
      <c r="G190" s="3"/>
      <c r="H190" s="3" t="str">
        <f ca="1">IFERROR(VLOOKUP(C190,'Calibrated Tools Register'!B:M,12,FALSE)-TODAY(),"")</f>
        <v/>
      </c>
      <c r="I190" s="3" t="str">
        <f t="shared" ca="1" si="5"/>
        <v/>
      </c>
      <c r="J190" s="3"/>
      <c r="K190" s="4"/>
      <c r="L190" s="3"/>
      <c r="M190" s="4"/>
      <c r="N190" s="4"/>
      <c r="O190" s="4"/>
    </row>
    <row r="191" spans="1:15">
      <c r="A191" s="3" t="str">
        <f t="shared" si="4"/>
        <v/>
      </c>
      <c r="B191" s="5"/>
      <c r="C191" s="23"/>
      <c r="D191" s="4" t="str">
        <f>IF(C191="","",IFERROR(VLOOKUP(C191,'Calibrated Tools Register'!B:C,2,FALSE),"NOT registered"))</f>
        <v/>
      </c>
      <c r="E191" s="5"/>
      <c r="F191" s="6"/>
      <c r="G191" s="5"/>
      <c r="H191" s="5" t="str">
        <f ca="1">IFERROR(VLOOKUP(C191,'Calibrated Tools Register'!B:M,12,FALSE)-TODAY(),"")</f>
        <v/>
      </c>
      <c r="I191" s="3" t="str">
        <f t="shared" ca="1" si="5"/>
        <v/>
      </c>
      <c r="J191" s="5"/>
      <c r="K191" s="6"/>
      <c r="L191" s="5"/>
      <c r="M191" s="6"/>
      <c r="N191" s="6"/>
      <c r="O191" s="6"/>
    </row>
    <row r="192" spans="1:15">
      <c r="A192" s="3" t="str">
        <f t="shared" si="4"/>
        <v/>
      </c>
      <c r="B192" s="3"/>
      <c r="C192" s="22"/>
      <c r="D192" s="4" t="str">
        <f>IF(C192="","",IFERROR(VLOOKUP(C192,'Calibrated Tools Register'!B:C,2,FALSE),"NOT registered"))</f>
        <v/>
      </c>
      <c r="E192" s="3"/>
      <c r="F192" s="4"/>
      <c r="G192" s="3"/>
      <c r="H192" s="3" t="str">
        <f ca="1">IFERROR(VLOOKUP(C192,'Calibrated Tools Register'!B:M,12,FALSE)-TODAY(),"")</f>
        <v/>
      </c>
      <c r="I192" s="3" t="str">
        <f t="shared" ca="1" si="5"/>
        <v/>
      </c>
      <c r="J192" s="3"/>
      <c r="K192" s="4"/>
      <c r="L192" s="3"/>
      <c r="M192" s="4"/>
      <c r="N192" s="4"/>
      <c r="O192" s="4"/>
    </row>
    <row r="193" spans="1:15">
      <c r="A193" s="3" t="str">
        <f t="shared" si="4"/>
        <v/>
      </c>
      <c r="B193" s="5"/>
      <c r="C193" s="23"/>
      <c r="D193" s="4" t="str">
        <f>IF(C193="","",IFERROR(VLOOKUP(C193,'Calibrated Tools Register'!B:C,2,FALSE),"NOT registered"))</f>
        <v/>
      </c>
      <c r="E193" s="5"/>
      <c r="F193" s="6"/>
      <c r="G193" s="5"/>
      <c r="H193" s="5" t="str">
        <f ca="1">IFERROR(VLOOKUP(C193,'Calibrated Tools Register'!B:M,12,FALSE)-TODAY(),"")</f>
        <v/>
      </c>
      <c r="I193" s="3" t="str">
        <f t="shared" ca="1" si="5"/>
        <v/>
      </c>
      <c r="J193" s="5"/>
      <c r="K193" s="6"/>
      <c r="L193" s="5"/>
      <c r="M193" s="6"/>
      <c r="N193" s="6"/>
      <c r="O193" s="6"/>
    </row>
    <row r="194" spans="1:15">
      <c r="A194" s="3" t="str">
        <f t="shared" si="4"/>
        <v/>
      </c>
      <c r="B194" s="3"/>
      <c r="C194" s="22"/>
      <c r="D194" s="4" t="str">
        <f>IF(C194="","",IFERROR(VLOOKUP(C194,'Calibrated Tools Register'!B:C,2,FALSE),"NOT registered"))</f>
        <v/>
      </c>
      <c r="E194" s="3"/>
      <c r="F194" s="4"/>
      <c r="G194" s="3"/>
      <c r="H194" s="3" t="str">
        <f ca="1">IFERROR(VLOOKUP(C194,'Calibrated Tools Register'!B:M,12,FALSE)-TODAY(),"")</f>
        <v/>
      </c>
      <c r="I194" s="3" t="str">
        <f t="shared" ca="1" si="5"/>
        <v/>
      </c>
      <c r="J194" s="3"/>
      <c r="K194" s="4"/>
      <c r="L194" s="3"/>
      <c r="M194" s="4"/>
      <c r="N194" s="4"/>
      <c r="O194" s="4"/>
    </row>
    <row r="195" spans="1:15">
      <c r="A195" s="3" t="str">
        <f t="shared" si="4"/>
        <v/>
      </c>
      <c r="B195" s="5"/>
      <c r="C195" s="23"/>
      <c r="D195" s="4" t="str">
        <f>IF(C195="","",IFERROR(VLOOKUP(C195,'Calibrated Tools Register'!B:C,2,FALSE),"NOT registered"))</f>
        <v/>
      </c>
      <c r="E195" s="5"/>
      <c r="F195" s="6"/>
      <c r="G195" s="5"/>
      <c r="H195" s="5" t="str">
        <f ca="1">IFERROR(VLOOKUP(C195,'Calibrated Tools Register'!B:M,12,FALSE)-TODAY(),"")</f>
        <v/>
      </c>
      <c r="I195" s="3" t="str">
        <f t="shared" ca="1" si="5"/>
        <v/>
      </c>
      <c r="J195" s="5"/>
      <c r="K195" s="6"/>
      <c r="L195" s="5"/>
      <c r="M195" s="6"/>
      <c r="N195" s="6"/>
      <c r="O195" s="6"/>
    </row>
    <row r="196" spans="1:15">
      <c r="A196" s="3" t="str">
        <f t="shared" ref="A196:A259" si="6">IF(C196="","",ROW(C196)-3)</f>
        <v/>
      </c>
      <c r="B196" s="3"/>
      <c r="C196" s="22"/>
      <c r="D196" s="4" t="str">
        <f>IF(C196="","",IFERROR(VLOOKUP(C196,'Calibrated Tools Register'!B:C,2,FALSE),"NOT registered"))</f>
        <v/>
      </c>
      <c r="E196" s="3"/>
      <c r="F196" s="4"/>
      <c r="G196" s="3"/>
      <c r="H196" s="3" t="str">
        <f ca="1">IFERROR(VLOOKUP(C196,'Calibrated Tools Register'!B:M,12,FALSE)-TODAY(),"")</f>
        <v/>
      </c>
      <c r="I196" s="3" t="str">
        <f t="shared" ca="1" si="5"/>
        <v/>
      </c>
      <c r="J196" s="3"/>
      <c r="K196" s="4"/>
      <c r="L196" s="3"/>
      <c r="M196" s="4"/>
      <c r="N196" s="4"/>
      <c r="O196" s="4"/>
    </row>
    <row r="197" spans="1:15">
      <c r="A197" s="3" t="str">
        <f t="shared" si="6"/>
        <v/>
      </c>
      <c r="B197" s="5"/>
      <c r="C197" s="23"/>
      <c r="D197" s="4" t="str">
        <f>IF(C197="","",IFERROR(VLOOKUP(C197,'Calibrated Tools Register'!B:C,2,FALSE),"NOT registered"))</f>
        <v/>
      </c>
      <c r="E197" s="5"/>
      <c r="F197" s="6"/>
      <c r="G197" s="5"/>
      <c r="H197" s="5" t="str">
        <f ca="1">IFERROR(VLOOKUP(C197,'Calibrated Tools Register'!B:M,12,FALSE)-TODAY(),"")</f>
        <v/>
      </c>
      <c r="I197" s="3" t="str">
        <f t="shared" ref="I197:I260" ca="1" si="7">IF(H197="","",IF(H197&lt;=0,"Urgent",IF(H197&lt;=30,"High",IF(H197&lt;=45,"Medium","Low"))))</f>
        <v/>
      </c>
      <c r="J197" s="5"/>
      <c r="K197" s="6"/>
      <c r="L197" s="5"/>
      <c r="M197" s="6"/>
      <c r="N197" s="6"/>
      <c r="O197" s="6"/>
    </row>
    <row r="198" spans="1:15">
      <c r="A198" s="3" t="str">
        <f t="shared" si="6"/>
        <v/>
      </c>
      <c r="B198" s="3"/>
      <c r="C198" s="22"/>
      <c r="D198" s="4" t="str">
        <f>IF(C198="","",IFERROR(VLOOKUP(C198,'Calibrated Tools Register'!B:C,2,FALSE),"NOT registered"))</f>
        <v/>
      </c>
      <c r="E198" s="3"/>
      <c r="F198" s="4"/>
      <c r="G198" s="3"/>
      <c r="H198" s="3" t="str">
        <f ca="1">IFERROR(VLOOKUP(C198,'Calibrated Tools Register'!B:M,12,FALSE)-TODAY(),"")</f>
        <v/>
      </c>
      <c r="I198" s="3" t="str">
        <f t="shared" ca="1" si="7"/>
        <v/>
      </c>
      <c r="J198" s="3"/>
      <c r="K198" s="4"/>
      <c r="L198" s="3"/>
      <c r="M198" s="4"/>
      <c r="N198" s="4"/>
      <c r="O198" s="4"/>
    </row>
    <row r="199" spans="1:15">
      <c r="A199" s="3" t="str">
        <f t="shared" si="6"/>
        <v/>
      </c>
      <c r="B199" s="5"/>
      <c r="C199" s="23"/>
      <c r="D199" s="4" t="str">
        <f>IF(C199="","",IFERROR(VLOOKUP(C199,'Calibrated Tools Register'!B:C,2,FALSE),"NOT registered"))</f>
        <v/>
      </c>
      <c r="E199" s="5"/>
      <c r="F199" s="6"/>
      <c r="G199" s="5"/>
      <c r="H199" s="5" t="str">
        <f ca="1">IFERROR(VLOOKUP(C199,'Calibrated Tools Register'!B:M,12,FALSE)-TODAY(),"")</f>
        <v/>
      </c>
      <c r="I199" s="3" t="str">
        <f t="shared" ca="1" si="7"/>
        <v/>
      </c>
      <c r="J199" s="5"/>
      <c r="K199" s="6"/>
      <c r="L199" s="5"/>
      <c r="M199" s="6"/>
      <c r="N199" s="6"/>
      <c r="O199" s="6"/>
    </row>
    <row r="200" spans="1:15">
      <c r="A200" s="3" t="str">
        <f t="shared" si="6"/>
        <v/>
      </c>
      <c r="B200" s="3"/>
      <c r="C200" s="22"/>
      <c r="D200" s="4" t="str">
        <f>IF(C200="","",IFERROR(VLOOKUP(C200,'Calibrated Tools Register'!B:C,2,FALSE),"NOT registered"))</f>
        <v/>
      </c>
      <c r="E200" s="3"/>
      <c r="F200" s="4"/>
      <c r="G200" s="3"/>
      <c r="H200" s="3" t="str">
        <f ca="1">IFERROR(VLOOKUP(C200,'Calibrated Tools Register'!B:M,12,FALSE)-TODAY(),"")</f>
        <v/>
      </c>
      <c r="I200" s="3" t="str">
        <f t="shared" ca="1" si="7"/>
        <v/>
      </c>
      <c r="J200" s="3"/>
      <c r="K200" s="4"/>
      <c r="L200" s="3"/>
      <c r="M200" s="4"/>
      <c r="N200" s="4"/>
      <c r="O200" s="4"/>
    </row>
    <row r="201" spans="1:15">
      <c r="A201" s="3" t="str">
        <f t="shared" si="6"/>
        <v/>
      </c>
      <c r="B201" s="5"/>
      <c r="C201" s="23"/>
      <c r="D201" s="4" t="str">
        <f>IF(C201="","",IFERROR(VLOOKUP(C201,'Calibrated Tools Register'!B:C,2,FALSE),"NOT registered"))</f>
        <v/>
      </c>
      <c r="E201" s="5"/>
      <c r="F201" s="6"/>
      <c r="G201" s="5"/>
      <c r="H201" s="5" t="str">
        <f ca="1">IFERROR(VLOOKUP(C201,'Calibrated Tools Register'!B:M,12,FALSE)-TODAY(),"")</f>
        <v/>
      </c>
      <c r="I201" s="3" t="str">
        <f t="shared" ca="1" si="7"/>
        <v/>
      </c>
      <c r="J201" s="5"/>
      <c r="K201" s="6"/>
      <c r="L201" s="5"/>
      <c r="M201" s="6"/>
      <c r="N201" s="6"/>
      <c r="O201" s="6"/>
    </row>
    <row r="202" spans="1:15">
      <c r="A202" s="3" t="str">
        <f t="shared" si="6"/>
        <v/>
      </c>
      <c r="B202" s="3"/>
      <c r="C202" s="22"/>
      <c r="D202" s="4" t="str">
        <f>IF(C202="","",IFERROR(VLOOKUP(C202,'Calibrated Tools Register'!B:C,2,FALSE),"NOT registered"))</f>
        <v/>
      </c>
      <c r="E202" s="3"/>
      <c r="F202" s="4"/>
      <c r="G202" s="3"/>
      <c r="H202" s="3" t="str">
        <f ca="1">IFERROR(VLOOKUP(C202,'Calibrated Tools Register'!B:M,12,FALSE)-TODAY(),"")</f>
        <v/>
      </c>
      <c r="I202" s="3" t="str">
        <f t="shared" ca="1" si="7"/>
        <v/>
      </c>
      <c r="J202" s="3"/>
      <c r="K202" s="4"/>
      <c r="L202" s="3"/>
      <c r="M202" s="4"/>
      <c r="N202" s="4"/>
      <c r="O202" s="4"/>
    </row>
    <row r="203" spans="1:15">
      <c r="A203" s="3" t="str">
        <f t="shared" si="6"/>
        <v/>
      </c>
      <c r="B203" s="5"/>
      <c r="C203" s="23"/>
      <c r="D203" s="4" t="str">
        <f>IF(C203="","",IFERROR(VLOOKUP(C203,'Calibrated Tools Register'!B:C,2,FALSE),"NOT registered"))</f>
        <v/>
      </c>
      <c r="E203" s="5"/>
      <c r="F203" s="6"/>
      <c r="G203" s="5"/>
      <c r="H203" s="5" t="str">
        <f ca="1">IFERROR(VLOOKUP(C203,'Calibrated Tools Register'!B:M,12,FALSE)-TODAY(),"")</f>
        <v/>
      </c>
      <c r="I203" s="3" t="str">
        <f t="shared" ca="1" si="7"/>
        <v/>
      </c>
      <c r="J203" s="5"/>
      <c r="K203" s="6"/>
      <c r="L203" s="5"/>
      <c r="M203" s="6"/>
      <c r="N203" s="6"/>
      <c r="O203" s="6"/>
    </row>
    <row r="204" spans="1:15">
      <c r="A204" s="3" t="str">
        <f t="shared" si="6"/>
        <v/>
      </c>
      <c r="B204" s="3"/>
      <c r="C204" s="22"/>
      <c r="D204" s="4" t="str">
        <f>IF(C204="","",IFERROR(VLOOKUP(C204,'Calibrated Tools Register'!B:C,2,FALSE),"NOT registered"))</f>
        <v/>
      </c>
      <c r="E204" s="3"/>
      <c r="F204" s="4"/>
      <c r="G204" s="3"/>
      <c r="H204" s="3" t="str">
        <f ca="1">IFERROR(VLOOKUP(C204,'Calibrated Tools Register'!B:M,12,FALSE)-TODAY(),"")</f>
        <v/>
      </c>
      <c r="I204" s="3" t="str">
        <f t="shared" ca="1" si="7"/>
        <v/>
      </c>
      <c r="J204" s="3"/>
      <c r="K204" s="4"/>
      <c r="L204" s="3"/>
      <c r="M204" s="4"/>
      <c r="N204" s="4"/>
      <c r="O204" s="4"/>
    </row>
    <row r="205" spans="1:15">
      <c r="A205" s="3" t="str">
        <f t="shared" si="6"/>
        <v/>
      </c>
      <c r="B205" s="5"/>
      <c r="C205" s="23"/>
      <c r="D205" s="4" t="str">
        <f>IF(C205="","",IFERROR(VLOOKUP(C205,'Calibrated Tools Register'!B:C,2,FALSE),"NOT registered"))</f>
        <v/>
      </c>
      <c r="E205" s="5"/>
      <c r="F205" s="6"/>
      <c r="G205" s="5"/>
      <c r="H205" s="5" t="str">
        <f ca="1">IFERROR(VLOOKUP(C205,'Calibrated Tools Register'!B:M,12,FALSE)-TODAY(),"")</f>
        <v/>
      </c>
      <c r="I205" s="3" t="str">
        <f t="shared" ca="1" si="7"/>
        <v/>
      </c>
      <c r="J205" s="5"/>
      <c r="K205" s="6"/>
      <c r="L205" s="5"/>
      <c r="M205" s="6"/>
      <c r="N205" s="6"/>
      <c r="O205" s="6"/>
    </row>
    <row r="206" spans="1:15">
      <c r="A206" s="3" t="str">
        <f t="shared" si="6"/>
        <v/>
      </c>
      <c r="B206" s="3"/>
      <c r="C206" s="22"/>
      <c r="D206" s="4" t="str">
        <f>IF(C206="","",IFERROR(VLOOKUP(C206,'Calibrated Tools Register'!B:C,2,FALSE),"NOT registered"))</f>
        <v/>
      </c>
      <c r="E206" s="3"/>
      <c r="F206" s="4"/>
      <c r="G206" s="3"/>
      <c r="H206" s="3" t="str">
        <f ca="1">IFERROR(VLOOKUP(C206,'Calibrated Tools Register'!B:M,12,FALSE)-TODAY(),"")</f>
        <v/>
      </c>
      <c r="I206" s="3" t="str">
        <f t="shared" ca="1" si="7"/>
        <v/>
      </c>
      <c r="J206" s="3"/>
      <c r="K206" s="4"/>
      <c r="L206" s="3"/>
      <c r="M206" s="4"/>
      <c r="N206" s="4"/>
      <c r="O206" s="4"/>
    </row>
    <row r="207" spans="1:15">
      <c r="A207" s="3" t="str">
        <f t="shared" si="6"/>
        <v/>
      </c>
      <c r="B207" s="5"/>
      <c r="C207" s="23"/>
      <c r="D207" s="4" t="str">
        <f>IF(C207="","",IFERROR(VLOOKUP(C207,'Calibrated Tools Register'!B:C,2,FALSE),"NOT registered"))</f>
        <v/>
      </c>
      <c r="E207" s="5"/>
      <c r="F207" s="6"/>
      <c r="G207" s="5"/>
      <c r="H207" s="5" t="str">
        <f ca="1">IFERROR(VLOOKUP(C207,'Calibrated Tools Register'!B:M,12,FALSE)-TODAY(),"")</f>
        <v/>
      </c>
      <c r="I207" s="3" t="str">
        <f t="shared" ca="1" si="7"/>
        <v/>
      </c>
      <c r="J207" s="5"/>
      <c r="K207" s="6"/>
      <c r="L207" s="5"/>
      <c r="M207" s="6"/>
      <c r="N207" s="6"/>
      <c r="O207" s="6"/>
    </row>
    <row r="208" spans="1:15">
      <c r="A208" s="3" t="str">
        <f t="shared" si="6"/>
        <v/>
      </c>
      <c r="B208" s="3"/>
      <c r="C208" s="22"/>
      <c r="D208" s="4" t="str">
        <f>IF(C208="","",IFERROR(VLOOKUP(C208,'Calibrated Tools Register'!B:C,2,FALSE),"NOT registered"))</f>
        <v/>
      </c>
      <c r="E208" s="3"/>
      <c r="F208" s="4"/>
      <c r="G208" s="3"/>
      <c r="H208" s="3" t="str">
        <f ca="1">IFERROR(VLOOKUP(C208,'Calibrated Tools Register'!B:M,12,FALSE)-TODAY(),"")</f>
        <v/>
      </c>
      <c r="I208" s="3" t="str">
        <f t="shared" ca="1" si="7"/>
        <v/>
      </c>
      <c r="J208" s="3"/>
      <c r="K208" s="4"/>
      <c r="L208" s="3"/>
      <c r="M208" s="4"/>
      <c r="N208" s="4"/>
      <c r="O208" s="4"/>
    </row>
    <row r="209" spans="1:15">
      <c r="A209" s="3" t="str">
        <f t="shared" si="6"/>
        <v/>
      </c>
      <c r="B209" s="5"/>
      <c r="C209" s="23"/>
      <c r="D209" s="4" t="str">
        <f>IF(C209="","",IFERROR(VLOOKUP(C209,'Calibrated Tools Register'!B:C,2,FALSE),"NOT registered"))</f>
        <v/>
      </c>
      <c r="E209" s="5"/>
      <c r="F209" s="6"/>
      <c r="G209" s="5"/>
      <c r="H209" s="5" t="str">
        <f ca="1">IFERROR(VLOOKUP(C209,'Calibrated Tools Register'!B:M,12,FALSE)-TODAY(),"")</f>
        <v/>
      </c>
      <c r="I209" s="3" t="str">
        <f t="shared" ca="1" si="7"/>
        <v/>
      </c>
      <c r="J209" s="5"/>
      <c r="K209" s="6"/>
      <c r="L209" s="5"/>
      <c r="M209" s="6"/>
      <c r="N209" s="6"/>
      <c r="O209" s="6"/>
    </row>
    <row r="210" spans="1:15">
      <c r="A210" s="3" t="str">
        <f t="shared" si="6"/>
        <v/>
      </c>
      <c r="B210" s="3"/>
      <c r="C210" s="22"/>
      <c r="D210" s="4" t="str">
        <f>IF(C210="","",IFERROR(VLOOKUP(C210,'Calibrated Tools Register'!B:C,2,FALSE),"NOT registered"))</f>
        <v/>
      </c>
      <c r="E210" s="3"/>
      <c r="F210" s="4"/>
      <c r="G210" s="3"/>
      <c r="H210" s="3" t="str">
        <f ca="1">IFERROR(VLOOKUP(C210,'Calibrated Tools Register'!B:M,12,FALSE)-TODAY(),"")</f>
        <v/>
      </c>
      <c r="I210" s="3" t="str">
        <f t="shared" ca="1" si="7"/>
        <v/>
      </c>
      <c r="J210" s="3"/>
      <c r="K210" s="4"/>
      <c r="L210" s="3"/>
      <c r="M210" s="4"/>
      <c r="N210" s="4"/>
      <c r="O210" s="4"/>
    </row>
    <row r="211" spans="1:15">
      <c r="A211" s="3" t="str">
        <f t="shared" si="6"/>
        <v/>
      </c>
      <c r="B211" s="5"/>
      <c r="C211" s="23"/>
      <c r="D211" s="4" t="str">
        <f>IF(C211="","",IFERROR(VLOOKUP(C211,'Calibrated Tools Register'!B:C,2,FALSE),"NOT registered"))</f>
        <v/>
      </c>
      <c r="E211" s="5"/>
      <c r="F211" s="6"/>
      <c r="G211" s="5"/>
      <c r="H211" s="5" t="str">
        <f ca="1">IFERROR(VLOOKUP(C211,'Calibrated Tools Register'!B:M,12,FALSE)-TODAY(),"")</f>
        <v/>
      </c>
      <c r="I211" s="3" t="str">
        <f t="shared" ca="1" si="7"/>
        <v/>
      </c>
      <c r="J211" s="5"/>
      <c r="K211" s="6"/>
      <c r="L211" s="5"/>
      <c r="M211" s="6"/>
      <c r="N211" s="6"/>
      <c r="O211" s="6"/>
    </row>
    <row r="212" spans="1:15">
      <c r="A212" s="3" t="str">
        <f t="shared" si="6"/>
        <v/>
      </c>
      <c r="B212" s="3"/>
      <c r="C212" s="22"/>
      <c r="D212" s="4" t="str">
        <f>IF(C212="","",IFERROR(VLOOKUP(C212,'Calibrated Tools Register'!B:C,2,FALSE),"NOT registered"))</f>
        <v/>
      </c>
      <c r="E212" s="3"/>
      <c r="F212" s="4"/>
      <c r="G212" s="3"/>
      <c r="H212" s="3" t="str">
        <f ca="1">IFERROR(VLOOKUP(C212,'Calibrated Tools Register'!B:M,12,FALSE)-TODAY(),"")</f>
        <v/>
      </c>
      <c r="I212" s="3" t="str">
        <f t="shared" ca="1" si="7"/>
        <v/>
      </c>
      <c r="J212" s="3"/>
      <c r="K212" s="4"/>
      <c r="L212" s="3"/>
      <c r="M212" s="4"/>
      <c r="N212" s="4"/>
      <c r="O212" s="4"/>
    </row>
    <row r="213" spans="1:15">
      <c r="A213" s="3" t="str">
        <f t="shared" si="6"/>
        <v/>
      </c>
      <c r="B213" s="5"/>
      <c r="C213" s="23"/>
      <c r="D213" s="4" t="str">
        <f>IF(C213="","",IFERROR(VLOOKUP(C213,'Calibrated Tools Register'!B:C,2,FALSE),"NOT registered"))</f>
        <v/>
      </c>
      <c r="E213" s="5"/>
      <c r="F213" s="6"/>
      <c r="G213" s="5"/>
      <c r="H213" s="5" t="str">
        <f ca="1">IFERROR(VLOOKUP(C213,'Calibrated Tools Register'!B:M,12,FALSE)-TODAY(),"")</f>
        <v/>
      </c>
      <c r="I213" s="3" t="str">
        <f t="shared" ca="1" si="7"/>
        <v/>
      </c>
      <c r="J213" s="5"/>
      <c r="K213" s="6"/>
      <c r="L213" s="5"/>
      <c r="M213" s="6"/>
      <c r="N213" s="6"/>
      <c r="O213" s="6"/>
    </row>
    <row r="214" spans="1:15">
      <c r="A214" s="3" t="str">
        <f t="shared" si="6"/>
        <v/>
      </c>
      <c r="B214" s="3"/>
      <c r="C214" s="22"/>
      <c r="D214" s="4" t="str">
        <f>IF(C214="","",IFERROR(VLOOKUP(C214,'Calibrated Tools Register'!B:C,2,FALSE),"NOT registered"))</f>
        <v/>
      </c>
      <c r="E214" s="3"/>
      <c r="F214" s="4"/>
      <c r="G214" s="3"/>
      <c r="H214" s="3" t="str">
        <f ca="1">IFERROR(VLOOKUP(C214,'Calibrated Tools Register'!B:M,12,FALSE)-TODAY(),"")</f>
        <v/>
      </c>
      <c r="I214" s="3" t="str">
        <f t="shared" ca="1" si="7"/>
        <v/>
      </c>
      <c r="J214" s="3"/>
      <c r="K214" s="4"/>
      <c r="L214" s="3"/>
      <c r="M214" s="4"/>
      <c r="N214" s="4"/>
      <c r="O214" s="4"/>
    </row>
    <row r="215" spans="1:15">
      <c r="A215" s="3" t="str">
        <f t="shared" si="6"/>
        <v/>
      </c>
      <c r="B215" s="5"/>
      <c r="C215" s="23"/>
      <c r="D215" s="4" t="str">
        <f>IF(C215="","",IFERROR(VLOOKUP(C215,'Calibrated Tools Register'!B:C,2,FALSE),"NOT registered"))</f>
        <v/>
      </c>
      <c r="E215" s="5"/>
      <c r="F215" s="6"/>
      <c r="G215" s="5"/>
      <c r="H215" s="5" t="str">
        <f ca="1">IFERROR(VLOOKUP(C215,'Calibrated Tools Register'!B:M,12,FALSE)-TODAY(),"")</f>
        <v/>
      </c>
      <c r="I215" s="3" t="str">
        <f t="shared" ca="1" si="7"/>
        <v/>
      </c>
      <c r="J215" s="5"/>
      <c r="K215" s="6"/>
      <c r="L215" s="5"/>
      <c r="M215" s="6"/>
      <c r="N215" s="6"/>
      <c r="O215" s="6"/>
    </row>
    <row r="216" spans="1:15">
      <c r="A216" s="3" t="str">
        <f t="shared" si="6"/>
        <v/>
      </c>
      <c r="B216" s="3"/>
      <c r="C216" s="22"/>
      <c r="D216" s="4" t="str">
        <f>IF(C216="","",IFERROR(VLOOKUP(C216,'Calibrated Tools Register'!B:C,2,FALSE),"NOT registered"))</f>
        <v/>
      </c>
      <c r="E216" s="3"/>
      <c r="F216" s="4"/>
      <c r="G216" s="3"/>
      <c r="H216" s="3" t="str">
        <f ca="1">IFERROR(VLOOKUP(C216,'Calibrated Tools Register'!B:M,12,FALSE)-TODAY(),"")</f>
        <v/>
      </c>
      <c r="I216" s="3" t="str">
        <f t="shared" ca="1" si="7"/>
        <v/>
      </c>
      <c r="J216" s="3"/>
      <c r="K216" s="4"/>
      <c r="L216" s="3"/>
      <c r="M216" s="4"/>
      <c r="N216" s="4"/>
      <c r="O216" s="4"/>
    </row>
    <row r="217" spans="1:15">
      <c r="A217" s="3" t="str">
        <f t="shared" si="6"/>
        <v/>
      </c>
      <c r="B217" s="5"/>
      <c r="C217" s="23"/>
      <c r="D217" s="4" t="str">
        <f>IF(C217="","",IFERROR(VLOOKUP(C217,'Calibrated Tools Register'!B:C,2,FALSE),"NOT registered"))</f>
        <v/>
      </c>
      <c r="E217" s="5"/>
      <c r="F217" s="6"/>
      <c r="G217" s="5"/>
      <c r="H217" s="5" t="str">
        <f ca="1">IFERROR(VLOOKUP(C217,'Calibrated Tools Register'!B:M,12,FALSE)-TODAY(),"")</f>
        <v/>
      </c>
      <c r="I217" s="3" t="str">
        <f t="shared" ca="1" si="7"/>
        <v/>
      </c>
      <c r="J217" s="5"/>
      <c r="K217" s="6"/>
      <c r="L217" s="5"/>
      <c r="M217" s="6"/>
      <c r="N217" s="6"/>
      <c r="O217" s="6"/>
    </row>
    <row r="218" spans="1:15">
      <c r="A218" s="3" t="str">
        <f t="shared" si="6"/>
        <v/>
      </c>
      <c r="B218" s="3"/>
      <c r="C218" s="22"/>
      <c r="D218" s="4" t="str">
        <f>IF(C218="","",IFERROR(VLOOKUP(C218,'Calibrated Tools Register'!B:C,2,FALSE),"NOT registered"))</f>
        <v/>
      </c>
      <c r="E218" s="3"/>
      <c r="F218" s="4"/>
      <c r="G218" s="3"/>
      <c r="H218" s="3" t="str">
        <f ca="1">IFERROR(VLOOKUP(C218,'Calibrated Tools Register'!B:M,12,FALSE)-TODAY(),"")</f>
        <v/>
      </c>
      <c r="I218" s="3" t="str">
        <f t="shared" ca="1" si="7"/>
        <v/>
      </c>
      <c r="J218" s="3"/>
      <c r="K218" s="4"/>
      <c r="L218" s="3"/>
      <c r="M218" s="4"/>
      <c r="N218" s="4"/>
      <c r="O218" s="4"/>
    </row>
    <row r="219" spans="1:15">
      <c r="A219" s="3" t="str">
        <f t="shared" si="6"/>
        <v/>
      </c>
      <c r="B219" s="5"/>
      <c r="C219" s="23"/>
      <c r="D219" s="4" t="str">
        <f>IF(C219="","",IFERROR(VLOOKUP(C219,'Calibrated Tools Register'!B:C,2,FALSE),"NOT registered"))</f>
        <v/>
      </c>
      <c r="E219" s="5"/>
      <c r="F219" s="6"/>
      <c r="G219" s="5"/>
      <c r="H219" s="5" t="str">
        <f ca="1">IFERROR(VLOOKUP(C219,'Calibrated Tools Register'!B:M,12,FALSE)-TODAY(),"")</f>
        <v/>
      </c>
      <c r="I219" s="3" t="str">
        <f t="shared" ca="1" si="7"/>
        <v/>
      </c>
      <c r="J219" s="5"/>
      <c r="K219" s="6"/>
      <c r="L219" s="5"/>
      <c r="M219" s="6"/>
      <c r="N219" s="6"/>
      <c r="O219" s="6"/>
    </row>
    <row r="220" spans="1:15">
      <c r="A220" s="3" t="str">
        <f t="shared" si="6"/>
        <v/>
      </c>
      <c r="B220" s="3"/>
      <c r="C220" s="22"/>
      <c r="D220" s="4" t="str">
        <f>IF(C220="","",IFERROR(VLOOKUP(C220,'Calibrated Tools Register'!B:C,2,FALSE),"NOT registered"))</f>
        <v/>
      </c>
      <c r="E220" s="3"/>
      <c r="F220" s="4"/>
      <c r="G220" s="3"/>
      <c r="H220" s="3" t="str">
        <f ca="1">IFERROR(VLOOKUP(C220,'Calibrated Tools Register'!B:M,12,FALSE)-TODAY(),"")</f>
        <v/>
      </c>
      <c r="I220" s="3" t="str">
        <f t="shared" ca="1" si="7"/>
        <v/>
      </c>
      <c r="J220" s="3"/>
      <c r="K220" s="4"/>
      <c r="L220" s="3"/>
      <c r="M220" s="4"/>
      <c r="N220" s="4"/>
      <c r="O220" s="4"/>
    </row>
    <row r="221" spans="1:15">
      <c r="A221" s="3" t="str">
        <f t="shared" si="6"/>
        <v/>
      </c>
      <c r="B221" s="5"/>
      <c r="C221" s="23"/>
      <c r="D221" s="4" t="str">
        <f>IF(C221="","",IFERROR(VLOOKUP(C221,'Calibrated Tools Register'!B:C,2,FALSE),"NOT registered"))</f>
        <v/>
      </c>
      <c r="E221" s="5"/>
      <c r="F221" s="6"/>
      <c r="G221" s="5"/>
      <c r="H221" s="5" t="str">
        <f ca="1">IFERROR(VLOOKUP(C221,'Calibrated Tools Register'!B:M,12,FALSE)-TODAY(),"")</f>
        <v/>
      </c>
      <c r="I221" s="3" t="str">
        <f t="shared" ca="1" si="7"/>
        <v/>
      </c>
      <c r="J221" s="5"/>
      <c r="K221" s="6"/>
      <c r="L221" s="5"/>
      <c r="M221" s="6"/>
      <c r="N221" s="6"/>
      <c r="O221" s="6"/>
    </row>
    <row r="222" spans="1:15">
      <c r="A222" s="3" t="str">
        <f t="shared" si="6"/>
        <v/>
      </c>
      <c r="B222" s="3"/>
      <c r="C222" s="22"/>
      <c r="D222" s="4" t="str">
        <f>IF(C222="","",IFERROR(VLOOKUP(C222,'Calibrated Tools Register'!B:C,2,FALSE),"NOT registered"))</f>
        <v/>
      </c>
      <c r="E222" s="3"/>
      <c r="F222" s="4"/>
      <c r="G222" s="3"/>
      <c r="H222" s="3" t="str">
        <f ca="1">IFERROR(VLOOKUP(C222,'Calibrated Tools Register'!B:M,12,FALSE)-TODAY(),"")</f>
        <v/>
      </c>
      <c r="I222" s="3" t="str">
        <f t="shared" ca="1" si="7"/>
        <v/>
      </c>
      <c r="J222" s="3"/>
      <c r="K222" s="4"/>
      <c r="L222" s="3"/>
      <c r="M222" s="4"/>
      <c r="N222" s="4"/>
      <c r="O222" s="4"/>
    </row>
    <row r="223" spans="1:15">
      <c r="A223" s="3" t="str">
        <f t="shared" si="6"/>
        <v/>
      </c>
      <c r="B223" s="5"/>
      <c r="C223" s="23"/>
      <c r="D223" s="4" t="str">
        <f>IF(C223="","",IFERROR(VLOOKUP(C223,'Calibrated Tools Register'!B:C,2,FALSE),"NOT registered"))</f>
        <v/>
      </c>
      <c r="E223" s="5"/>
      <c r="F223" s="6"/>
      <c r="G223" s="5"/>
      <c r="H223" s="5" t="str">
        <f ca="1">IFERROR(VLOOKUP(C223,'Calibrated Tools Register'!B:M,12,FALSE)-TODAY(),"")</f>
        <v/>
      </c>
      <c r="I223" s="3" t="str">
        <f t="shared" ca="1" si="7"/>
        <v/>
      </c>
      <c r="J223" s="5"/>
      <c r="K223" s="6"/>
      <c r="L223" s="5"/>
      <c r="M223" s="6"/>
      <c r="N223" s="6"/>
      <c r="O223" s="6"/>
    </row>
    <row r="224" spans="1:15">
      <c r="A224" s="3" t="str">
        <f t="shared" si="6"/>
        <v/>
      </c>
      <c r="B224" s="3"/>
      <c r="C224" s="22"/>
      <c r="D224" s="4" t="str">
        <f>IF(C224="","",IFERROR(VLOOKUP(C224,'Calibrated Tools Register'!B:C,2,FALSE),"NOT registered"))</f>
        <v/>
      </c>
      <c r="E224" s="3"/>
      <c r="F224" s="4"/>
      <c r="G224" s="3"/>
      <c r="H224" s="3" t="str">
        <f ca="1">IFERROR(VLOOKUP(C224,'Calibrated Tools Register'!B:M,12,FALSE)-TODAY(),"")</f>
        <v/>
      </c>
      <c r="I224" s="3" t="str">
        <f t="shared" ca="1" si="7"/>
        <v/>
      </c>
      <c r="J224" s="3"/>
      <c r="K224" s="4"/>
      <c r="L224" s="3"/>
      <c r="M224" s="4"/>
      <c r="N224" s="4"/>
      <c r="O224" s="4"/>
    </row>
    <row r="225" spans="1:15">
      <c r="A225" s="3" t="str">
        <f t="shared" si="6"/>
        <v/>
      </c>
      <c r="B225" s="5"/>
      <c r="C225" s="23"/>
      <c r="D225" s="4" t="str">
        <f>IF(C225="","",IFERROR(VLOOKUP(C225,'Calibrated Tools Register'!B:C,2,FALSE),"NOT registered"))</f>
        <v/>
      </c>
      <c r="E225" s="5"/>
      <c r="F225" s="6"/>
      <c r="G225" s="5"/>
      <c r="H225" s="5" t="str">
        <f ca="1">IFERROR(VLOOKUP(C225,'Calibrated Tools Register'!B:M,12,FALSE)-TODAY(),"")</f>
        <v/>
      </c>
      <c r="I225" s="3" t="str">
        <f t="shared" ca="1" si="7"/>
        <v/>
      </c>
      <c r="J225" s="5"/>
      <c r="K225" s="6"/>
      <c r="L225" s="5"/>
      <c r="M225" s="6"/>
      <c r="N225" s="6"/>
      <c r="O225" s="6"/>
    </row>
    <row r="226" spans="1:15">
      <c r="A226" s="3" t="str">
        <f t="shared" si="6"/>
        <v/>
      </c>
      <c r="B226" s="3"/>
      <c r="C226" s="22"/>
      <c r="D226" s="4" t="str">
        <f>IF(C226="","",IFERROR(VLOOKUP(C226,'Calibrated Tools Register'!B:C,2,FALSE),"NOT registered"))</f>
        <v/>
      </c>
      <c r="E226" s="3"/>
      <c r="F226" s="4"/>
      <c r="G226" s="3"/>
      <c r="H226" s="3" t="str">
        <f ca="1">IFERROR(VLOOKUP(C226,'Calibrated Tools Register'!B:M,12,FALSE)-TODAY(),"")</f>
        <v/>
      </c>
      <c r="I226" s="3" t="str">
        <f t="shared" ca="1" si="7"/>
        <v/>
      </c>
      <c r="J226" s="3"/>
      <c r="K226" s="4"/>
      <c r="L226" s="3"/>
      <c r="M226" s="4"/>
      <c r="N226" s="4"/>
      <c r="O226" s="4"/>
    </row>
    <row r="227" spans="1:15">
      <c r="A227" s="3" t="str">
        <f t="shared" si="6"/>
        <v/>
      </c>
      <c r="B227" s="5"/>
      <c r="C227" s="23"/>
      <c r="D227" s="4" t="str">
        <f>IF(C227="","",IFERROR(VLOOKUP(C227,'Calibrated Tools Register'!B:C,2,FALSE),"NOT registered"))</f>
        <v/>
      </c>
      <c r="E227" s="5"/>
      <c r="F227" s="6"/>
      <c r="G227" s="5"/>
      <c r="H227" s="5" t="str">
        <f ca="1">IFERROR(VLOOKUP(C227,'Calibrated Tools Register'!B:M,12,FALSE)-TODAY(),"")</f>
        <v/>
      </c>
      <c r="I227" s="3" t="str">
        <f t="shared" ca="1" si="7"/>
        <v/>
      </c>
      <c r="J227" s="5"/>
      <c r="K227" s="6"/>
      <c r="L227" s="5"/>
      <c r="M227" s="6"/>
      <c r="N227" s="6"/>
      <c r="O227" s="6"/>
    </row>
    <row r="228" spans="1:15">
      <c r="A228" s="3" t="str">
        <f t="shared" si="6"/>
        <v/>
      </c>
      <c r="B228" s="3"/>
      <c r="C228" s="22"/>
      <c r="D228" s="4" t="str">
        <f>IF(C228="","",IFERROR(VLOOKUP(C228,'Calibrated Tools Register'!B:C,2,FALSE),"NOT registered"))</f>
        <v/>
      </c>
      <c r="E228" s="3"/>
      <c r="F228" s="4"/>
      <c r="G228" s="3"/>
      <c r="H228" s="3" t="str">
        <f ca="1">IFERROR(VLOOKUP(C228,'Calibrated Tools Register'!B:M,12,FALSE)-TODAY(),"")</f>
        <v/>
      </c>
      <c r="I228" s="3" t="str">
        <f t="shared" ca="1" si="7"/>
        <v/>
      </c>
      <c r="J228" s="3"/>
      <c r="K228" s="4"/>
      <c r="L228" s="3"/>
      <c r="M228" s="4"/>
      <c r="N228" s="4"/>
      <c r="O228" s="4"/>
    </row>
    <row r="229" spans="1:15">
      <c r="A229" s="3" t="str">
        <f t="shared" si="6"/>
        <v/>
      </c>
      <c r="B229" s="5"/>
      <c r="C229" s="23"/>
      <c r="D229" s="4" t="str">
        <f>IF(C229="","",IFERROR(VLOOKUP(C229,'Calibrated Tools Register'!B:C,2,FALSE),"NOT registered"))</f>
        <v/>
      </c>
      <c r="E229" s="5"/>
      <c r="F229" s="6"/>
      <c r="G229" s="5"/>
      <c r="H229" s="5" t="str">
        <f ca="1">IFERROR(VLOOKUP(C229,'Calibrated Tools Register'!B:M,12,FALSE)-TODAY(),"")</f>
        <v/>
      </c>
      <c r="I229" s="3" t="str">
        <f t="shared" ca="1" si="7"/>
        <v/>
      </c>
      <c r="J229" s="5"/>
      <c r="K229" s="6"/>
      <c r="L229" s="5"/>
      <c r="M229" s="6"/>
      <c r="N229" s="6"/>
      <c r="O229" s="6"/>
    </row>
    <row r="230" spans="1:15">
      <c r="A230" s="3" t="str">
        <f t="shared" si="6"/>
        <v/>
      </c>
      <c r="B230" s="3"/>
      <c r="C230" s="22"/>
      <c r="D230" s="4" t="str">
        <f>IF(C230="","",IFERROR(VLOOKUP(C230,'Calibrated Tools Register'!B:C,2,FALSE),"NOT registered"))</f>
        <v/>
      </c>
      <c r="E230" s="3"/>
      <c r="F230" s="4"/>
      <c r="G230" s="3"/>
      <c r="H230" s="3" t="str">
        <f ca="1">IFERROR(VLOOKUP(C230,'Calibrated Tools Register'!B:M,12,FALSE)-TODAY(),"")</f>
        <v/>
      </c>
      <c r="I230" s="3" t="str">
        <f t="shared" ca="1" si="7"/>
        <v/>
      </c>
      <c r="J230" s="3"/>
      <c r="K230" s="4"/>
      <c r="L230" s="3"/>
      <c r="M230" s="4"/>
      <c r="N230" s="4"/>
      <c r="O230" s="4"/>
    </row>
    <row r="231" spans="1:15">
      <c r="A231" s="3" t="str">
        <f t="shared" si="6"/>
        <v/>
      </c>
      <c r="B231" s="5"/>
      <c r="C231" s="23"/>
      <c r="D231" s="4" t="str">
        <f>IF(C231="","",IFERROR(VLOOKUP(C231,'Calibrated Tools Register'!B:C,2,FALSE),"NOT registered"))</f>
        <v/>
      </c>
      <c r="E231" s="5"/>
      <c r="F231" s="6"/>
      <c r="G231" s="5"/>
      <c r="H231" s="5" t="str">
        <f ca="1">IFERROR(VLOOKUP(C231,'Calibrated Tools Register'!B:M,12,FALSE)-TODAY(),"")</f>
        <v/>
      </c>
      <c r="I231" s="3" t="str">
        <f t="shared" ca="1" si="7"/>
        <v/>
      </c>
      <c r="J231" s="5"/>
      <c r="K231" s="6"/>
      <c r="L231" s="5"/>
      <c r="M231" s="6"/>
      <c r="N231" s="6"/>
      <c r="O231" s="6"/>
    </row>
    <row r="232" spans="1:15">
      <c r="A232" s="3" t="str">
        <f t="shared" si="6"/>
        <v/>
      </c>
      <c r="B232" s="3"/>
      <c r="C232" s="22"/>
      <c r="D232" s="4" t="str">
        <f>IF(C232="","",IFERROR(VLOOKUP(C232,'Calibrated Tools Register'!B:C,2,FALSE),"NOT registered"))</f>
        <v/>
      </c>
      <c r="E232" s="3"/>
      <c r="F232" s="4"/>
      <c r="G232" s="3"/>
      <c r="H232" s="3" t="str">
        <f ca="1">IFERROR(VLOOKUP(C232,'Calibrated Tools Register'!B:M,12,FALSE)-TODAY(),"")</f>
        <v/>
      </c>
      <c r="I232" s="3" t="str">
        <f t="shared" ca="1" si="7"/>
        <v/>
      </c>
      <c r="J232" s="3"/>
      <c r="K232" s="4"/>
      <c r="L232" s="3"/>
      <c r="M232" s="4"/>
      <c r="N232" s="4"/>
      <c r="O232" s="4"/>
    </row>
    <row r="233" spans="1:15">
      <c r="A233" s="3" t="str">
        <f t="shared" si="6"/>
        <v/>
      </c>
      <c r="B233" s="5"/>
      <c r="C233" s="23"/>
      <c r="D233" s="4" t="str">
        <f>IF(C233="","",IFERROR(VLOOKUP(C233,'Calibrated Tools Register'!B:C,2,FALSE),"NOT registered"))</f>
        <v/>
      </c>
      <c r="E233" s="5"/>
      <c r="F233" s="6"/>
      <c r="G233" s="5"/>
      <c r="H233" s="5" t="str">
        <f ca="1">IFERROR(VLOOKUP(C233,'Calibrated Tools Register'!B:M,12,FALSE)-TODAY(),"")</f>
        <v/>
      </c>
      <c r="I233" s="3" t="str">
        <f t="shared" ca="1" si="7"/>
        <v/>
      </c>
      <c r="J233" s="5"/>
      <c r="K233" s="6"/>
      <c r="L233" s="5"/>
      <c r="M233" s="6"/>
      <c r="N233" s="6"/>
      <c r="O233" s="6"/>
    </row>
    <row r="234" spans="1:15">
      <c r="A234" s="3" t="str">
        <f t="shared" si="6"/>
        <v/>
      </c>
      <c r="B234" s="3"/>
      <c r="C234" s="22"/>
      <c r="D234" s="4" t="str">
        <f>IF(C234="","",IFERROR(VLOOKUP(C234,'Calibrated Tools Register'!B:C,2,FALSE),"NOT registered"))</f>
        <v/>
      </c>
      <c r="E234" s="3"/>
      <c r="F234" s="4"/>
      <c r="G234" s="3"/>
      <c r="H234" s="3" t="str">
        <f ca="1">IFERROR(VLOOKUP(C234,'Calibrated Tools Register'!B:M,12,FALSE)-TODAY(),"")</f>
        <v/>
      </c>
      <c r="I234" s="3" t="str">
        <f t="shared" ca="1" si="7"/>
        <v/>
      </c>
      <c r="J234" s="3"/>
      <c r="K234" s="4"/>
      <c r="L234" s="3"/>
      <c r="M234" s="4"/>
      <c r="N234" s="4"/>
      <c r="O234" s="4"/>
    </row>
    <row r="235" spans="1:15">
      <c r="A235" s="3" t="str">
        <f t="shared" si="6"/>
        <v/>
      </c>
      <c r="B235" s="5"/>
      <c r="C235" s="23"/>
      <c r="D235" s="4" t="str">
        <f>IF(C235="","",IFERROR(VLOOKUP(C235,'Calibrated Tools Register'!B:C,2,FALSE),"NOT registered"))</f>
        <v/>
      </c>
      <c r="E235" s="5"/>
      <c r="F235" s="6"/>
      <c r="G235" s="5"/>
      <c r="H235" s="5" t="str">
        <f ca="1">IFERROR(VLOOKUP(C235,'Calibrated Tools Register'!B:M,12,FALSE)-TODAY(),"")</f>
        <v/>
      </c>
      <c r="I235" s="3" t="str">
        <f t="shared" ca="1" si="7"/>
        <v/>
      </c>
      <c r="J235" s="5"/>
      <c r="K235" s="6"/>
      <c r="L235" s="5"/>
      <c r="M235" s="6"/>
      <c r="N235" s="6"/>
      <c r="O235" s="6"/>
    </row>
    <row r="236" spans="1:15">
      <c r="A236" s="3" t="str">
        <f t="shared" si="6"/>
        <v/>
      </c>
      <c r="B236" s="3"/>
      <c r="C236" s="22"/>
      <c r="D236" s="4" t="str">
        <f>IF(C236="","",IFERROR(VLOOKUP(C236,'Calibrated Tools Register'!B:C,2,FALSE),"NOT registered"))</f>
        <v/>
      </c>
      <c r="E236" s="3"/>
      <c r="F236" s="4"/>
      <c r="G236" s="3"/>
      <c r="H236" s="3" t="str">
        <f ca="1">IFERROR(VLOOKUP(C236,'Calibrated Tools Register'!B:M,12,FALSE)-TODAY(),"")</f>
        <v/>
      </c>
      <c r="I236" s="3" t="str">
        <f t="shared" ca="1" si="7"/>
        <v/>
      </c>
      <c r="J236" s="3"/>
      <c r="K236" s="4"/>
      <c r="L236" s="3"/>
      <c r="M236" s="4"/>
      <c r="N236" s="4"/>
      <c r="O236" s="4"/>
    </row>
    <row r="237" spans="1:15">
      <c r="A237" s="3" t="str">
        <f t="shared" si="6"/>
        <v/>
      </c>
      <c r="B237" s="5"/>
      <c r="C237" s="23"/>
      <c r="D237" s="4" t="str">
        <f>IF(C237="","",IFERROR(VLOOKUP(C237,'Calibrated Tools Register'!B:C,2,FALSE),"NOT registered"))</f>
        <v/>
      </c>
      <c r="E237" s="5"/>
      <c r="F237" s="6"/>
      <c r="G237" s="5"/>
      <c r="H237" s="5" t="str">
        <f ca="1">IFERROR(VLOOKUP(C237,'Calibrated Tools Register'!B:M,12,FALSE)-TODAY(),"")</f>
        <v/>
      </c>
      <c r="I237" s="3" t="str">
        <f t="shared" ca="1" si="7"/>
        <v/>
      </c>
      <c r="J237" s="5"/>
      <c r="K237" s="6"/>
      <c r="L237" s="5"/>
      <c r="M237" s="6"/>
      <c r="N237" s="6"/>
      <c r="O237" s="6"/>
    </row>
    <row r="238" spans="1:15">
      <c r="A238" s="3" t="str">
        <f t="shared" si="6"/>
        <v/>
      </c>
      <c r="B238" s="3"/>
      <c r="C238" s="22"/>
      <c r="D238" s="4" t="str">
        <f>IF(C238="","",IFERROR(VLOOKUP(C238,'Calibrated Tools Register'!B:C,2,FALSE),"NOT registered"))</f>
        <v/>
      </c>
      <c r="E238" s="3"/>
      <c r="F238" s="4"/>
      <c r="G238" s="3"/>
      <c r="H238" s="3" t="str">
        <f ca="1">IFERROR(VLOOKUP(C238,'Calibrated Tools Register'!B:M,12,FALSE)-TODAY(),"")</f>
        <v/>
      </c>
      <c r="I238" s="3" t="str">
        <f t="shared" ca="1" si="7"/>
        <v/>
      </c>
      <c r="J238" s="3"/>
      <c r="K238" s="4"/>
      <c r="L238" s="3"/>
      <c r="M238" s="4"/>
      <c r="N238" s="4"/>
      <c r="O238" s="4"/>
    </row>
    <row r="239" spans="1:15">
      <c r="A239" s="3" t="str">
        <f t="shared" si="6"/>
        <v/>
      </c>
      <c r="B239" s="5"/>
      <c r="C239" s="23"/>
      <c r="D239" s="4" t="str">
        <f>IF(C239="","",IFERROR(VLOOKUP(C239,'Calibrated Tools Register'!B:C,2,FALSE),"NOT registered"))</f>
        <v/>
      </c>
      <c r="E239" s="5"/>
      <c r="F239" s="6"/>
      <c r="G239" s="5"/>
      <c r="H239" s="5" t="str">
        <f ca="1">IFERROR(VLOOKUP(C239,'Calibrated Tools Register'!B:M,12,FALSE)-TODAY(),"")</f>
        <v/>
      </c>
      <c r="I239" s="3" t="str">
        <f t="shared" ca="1" si="7"/>
        <v/>
      </c>
      <c r="J239" s="5"/>
      <c r="K239" s="6"/>
      <c r="L239" s="5"/>
      <c r="M239" s="6"/>
      <c r="N239" s="6"/>
      <c r="O239" s="6"/>
    </row>
    <row r="240" spans="1:15">
      <c r="A240" s="3" t="str">
        <f t="shared" si="6"/>
        <v/>
      </c>
      <c r="B240" s="3"/>
      <c r="C240" s="22"/>
      <c r="D240" s="4" t="str">
        <f>IF(C240="","",IFERROR(VLOOKUP(C240,'Calibrated Tools Register'!B:C,2,FALSE),"NOT registered"))</f>
        <v/>
      </c>
      <c r="E240" s="3"/>
      <c r="F240" s="4"/>
      <c r="G240" s="3"/>
      <c r="H240" s="3" t="str">
        <f ca="1">IFERROR(VLOOKUP(C240,'Calibrated Tools Register'!B:M,12,FALSE)-TODAY(),"")</f>
        <v/>
      </c>
      <c r="I240" s="3" t="str">
        <f t="shared" ca="1" si="7"/>
        <v/>
      </c>
      <c r="J240" s="3"/>
      <c r="K240" s="4"/>
      <c r="L240" s="3"/>
      <c r="M240" s="4"/>
      <c r="N240" s="4"/>
      <c r="O240" s="4"/>
    </row>
    <row r="241" spans="1:15">
      <c r="A241" s="3" t="str">
        <f t="shared" si="6"/>
        <v/>
      </c>
      <c r="B241" s="5"/>
      <c r="C241" s="23"/>
      <c r="D241" s="4" t="str">
        <f>IF(C241="","",IFERROR(VLOOKUP(C241,'Calibrated Tools Register'!B:C,2,FALSE),"NOT registered"))</f>
        <v/>
      </c>
      <c r="E241" s="5"/>
      <c r="F241" s="6"/>
      <c r="G241" s="5"/>
      <c r="H241" s="5" t="str">
        <f ca="1">IFERROR(VLOOKUP(C241,'Calibrated Tools Register'!B:M,12,FALSE)-TODAY(),"")</f>
        <v/>
      </c>
      <c r="I241" s="3" t="str">
        <f t="shared" ca="1" si="7"/>
        <v/>
      </c>
      <c r="J241" s="5"/>
      <c r="K241" s="6"/>
      <c r="L241" s="5"/>
      <c r="M241" s="6"/>
      <c r="N241" s="6"/>
      <c r="O241" s="6"/>
    </row>
    <row r="242" spans="1:15">
      <c r="A242" s="3" t="str">
        <f t="shared" si="6"/>
        <v/>
      </c>
      <c r="B242" s="3"/>
      <c r="C242" s="22"/>
      <c r="D242" s="4" t="str">
        <f>IF(C242="","",IFERROR(VLOOKUP(C242,'Calibrated Tools Register'!B:C,2,FALSE),"NOT registered"))</f>
        <v/>
      </c>
      <c r="E242" s="3"/>
      <c r="F242" s="4"/>
      <c r="G242" s="3"/>
      <c r="H242" s="3" t="str">
        <f ca="1">IFERROR(VLOOKUP(C242,'Calibrated Tools Register'!B:M,12,FALSE)-TODAY(),"")</f>
        <v/>
      </c>
      <c r="I242" s="3" t="str">
        <f t="shared" ca="1" si="7"/>
        <v/>
      </c>
      <c r="J242" s="3"/>
      <c r="K242" s="4"/>
      <c r="L242" s="3"/>
      <c r="M242" s="4"/>
      <c r="N242" s="4"/>
      <c r="O242" s="4"/>
    </row>
    <row r="243" spans="1:15">
      <c r="A243" s="3" t="str">
        <f t="shared" si="6"/>
        <v/>
      </c>
      <c r="B243" s="5"/>
      <c r="C243" s="23"/>
      <c r="D243" s="4" t="str">
        <f>IF(C243="","",IFERROR(VLOOKUP(C243,'Calibrated Tools Register'!B:C,2,FALSE),"NOT registered"))</f>
        <v/>
      </c>
      <c r="E243" s="5"/>
      <c r="F243" s="6"/>
      <c r="G243" s="5"/>
      <c r="H243" s="5" t="str">
        <f ca="1">IFERROR(VLOOKUP(C243,'Calibrated Tools Register'!B:M,12,FALSE)-TODAY(),"")</f>
        <v/>
      </c>
      <c r="I243" s="3" t="str">
        <f t="shared" ca="1" si="7"/>
        <v/>
      </c>
      <c r="J243" s="5"/>
      <c r="K243" s="6"/>
      <c r="L243" s="5"/>
      <c r="M243" s="6"/>
      <c r="N243" s="6"/>
      <c r="O243" s="6"/>
    </row>
    <row r="244" spans="1:15">
      <c r="A244" s="3" t="str">
        <f t="shared" si="6"/>
        <v/>
      </c>
      <c r="B244" s="3"/>
      <c r="C244" s="22"/>
      <c r="D244" s="4" t="str">
        <f>IF(C244="","",IFERROR(VLOOKUP(C244,'Calibrated Tools Register'!B:C,2,FALSE),"NOT registered"))</f>
        <v/>
      </c>
      <c r="E244" s="3"/>
      <c r="F244" s="4"/>
      <c r="G244" s="3"/>
      <c r="H244" s="3" t="str">
        <f ca="1">IFERROR(VLOOKUP(C244,'Calibrated Tools Register'!B:M,12,FALSE)-TODAY(),"")</f>
        <v/>
      </c>
      <c r="I244" s="3" t="str">
        <f t="shared" ca="1" si="7"/>
        <v/>
      </c>
      <c r="J244" s="3"/>
      <c r="K244" s="4"/>
      <c r="L244" s="3"/>
      <c r="M244" s="4"/>
      <c r="N244" s="4"/>
      <c r="O244" s="4"/>
    </row>
    <row r="245" spans="1:15">
      <c r="A245" s="3" t="str">
        <f t="shared" si="6"/>
        <v/>
      </c>
      <c r="B245" s="5"/>
      <c r="C245" s="23"/>
      <c r="D245" s="4" t="str">
        <f>IF(C245="","",IFERROR(VLOOKUP(C245,'Calibrated Tools Register'!B:C,2,FALSE),"NOT registered"))</f>
        <v/>
      </c>
      <c r="E245" s="5"/>
      <c r="F245" s="6"/>
      <c r="G245" s="5"/>
      <c r="H245" s="5" t="str">
        <f ca="1">IFERROR(VLOOKUP(C245,'Calibrated Tools Register'!B:M,12,FALSE)-TODAY(),"")</f>
        <v/>
      </c>
      <c r="I245" s="3" t="str">
        <f t="shared" ca="1" si="7"/>
        <v/>
      </c>
      <c r="J245" s="5"/>
      <c r="K245" s="6"/>
      <c r="L245" s="5"/>
      <c r="M245" s="6"/>
      <c r="N245" s="6"/>
      <c r="O245" s="6"/>
    </row>
    <row r="246" spans="1:15">
      <c r="A246" s="3" t="str">
        <f t="shared" si="6"/>
        <v/>
      </c>
      <c r="B246" s="3"/>
      <c r="C246" s="22"/>
      <c r="D246" s="4" t="str">
        <f>IF(C246="","",IFERROR(VLOOKUP(C246,'Calibrated Tools Register'!B:C,2,FALSE),"NOT registered"))</f>
        <v/>
      </c>
      <c r="E246" s="3"/>
      <c r="F246" s="4"/>
      <c r="G246" s="3"/>
      <c r="H246" s="3" t="str">
        <f ca="1">IFERROR(VLOOKUP(C246,'Calibrated Tools Register'!B:M,12,FALSE)-TODAY(),"")</f>
        <v/>
      </c>
      <c r="I246" s="3" t="str">
        <f t="shared" ca="1" si="7"/>
        <v/>
      </c>
      <c r="J246" s="3"/>
      <c r="K246" s="4"/>
      <c r="L246" s="3"/>
      <c r="M246" s="4"/>
      <c r="N246" s="4"/>
      <c r="O246" s="4"/>
    </row>
    <row r="247" spans="1:15">
      <c r="A247" s="3" t="str">
        <f t="shared" si="6"/>
        <v/>
      </c>
      <c r="B247" s="5"/>
      <c r="C247" s="23"/>
      <c r="D247" s="4" t="str">
        <f>IF(C247="","",IFERROR(VLOOKUP(C247,'Calibrated Tools Register'!B:C,2,FALSE),"NOT registered"))</f>
        <v/>
      </c>
      <c r="E247" s="5"/>
      <c r="F247" s="6"/>
      <c r="G247" s="5"/>
      <c r="H247" s="5" t="str">
        <f ca="1">IFERROR(VLOOKUP(C247,'Calibrated Tools Register'!B:M,12,FALSE)-TODAY(),"")</f>
        <v/>
      </c>
      <c r="I247" s="3" t="str">
        <f t="shared" ca="1" si="7"/>
        <v/>
      </c>
      <c r="J247" s="5"/>
      <c r="K247" s="6"/>
      <c r="L247" s="5"/>
      <c r="M247" s="6"/>
      <c r="N247" s="6"/>
      <c r="O247" s="6"/>
    </row>
    <row r="248" spans="1:15">
      <c r="A248" s="3" t="str">
        <f t="shared" si="6"/>
        <v/>
      </c>
      <c r="B248" s="3"/>
      <c r="C248" s="22"/>
      <c r="D248" s="4" t="str">
        <f>IF(C248="","",IFERROR(VLOOKUP(C248,'Calibrated Tools Register'!B:C,2,FALSE),"NOT registered"))</f>
        <v/>
      </c>
      <c r="E248" s="3"/>
      <c r="F248" s="4"/>
      <c r="G248" s="3"/>
      <c r="H248" s="3" t="str">
        <f ca="1">IFERROR(VLOOKUP(C248,'Calibrated Tools Register'!B:M,12,FALSE)-TODAY(),"")</f>
        <v/>
      </c>
      <c r="I248" s="3" t="str">
        <f t="shared" ca="1" si="7"/>
        <v/>
      </c>
      <c r="J248" s="3"/>
      <c r="K248" s="4"/>
      <c r="L248" s="3"/>
      <c r="M248" s="4"/>
      <c r="N248" s="4"/>
      <c r="O248" s="4"/>
    </row>
    <row r="249" spans="1:15">
      <c r="A249" s="3" t="str">
        <f t="shared" si="6"/>
        <v/>
      </c>
      <c r="B249" s="5"/>
      <c r="C249" s="23"/>
      <c r="D249" s="4" t="str">
        <f>IF(C249="","",IFERROR(VLOOKUP(C249,'Calibrated Tools Register'!B:C,2,FALSE),"NOT registered"))</f>
        <v/>
      </c>
      <c r="E249" s="5"/>
      <c r="F249" s="6"/>
      <c r="G249" s="5"/>
      <c r="H249" s="5" t="str">
        <f ca="1">IFERROR(VLOOKUP(C249,'Calibrated Tools Register'!B:M,12,FALSE)-TODAY(),"")</f>
        <v/>
      </c>
      <c r="I249" s="3" t="str">
        <f t="shared" ca="1" si="7"/>
        <v/>
      </c>
      <c r="J249" s="5"/>
      <c r="K249" s="6"/>
      <c r="L249" s="5"/>
      <c r="M249" s="6"/>
      <c r="N249" s="6"/>
      <c r="O249" s="6"/>
    </row>
    <row r="250" spans="1:15">
      <c r="A250" s="3" t="str">
        <f t="shared" si="6"/>
        <v/>
      </c>
      <c r="B250" s="3"/>
      <c r="C250" s="22"/>
      <c r="D250" s="4" t="str">
        <f>IF(C250="","",IFERROR(VLOOKUP(C250,'Calibrated Tools Register'!B:C,2,FALSE),"NOT registered"))</f>
        <v/>
      </c>
      <c r="E250" s="3"/>
      <c r="F250" s="4"/>
      <c r="G250" s="3"/>
      <c r="H250" s="3" t="str">
        <f ca="1">IFERROR(VLOOKUP(C250,'Calibrated Tools Register'!B:M,12,FALSE)-TODAY(),"")</f>
        <v/>
      </c>
      <c r="I250" s="3" t="str">
        <f t="shared" ca="1" si="7"/>
        <v/>
      </c>
      <c r="J250" s="3"/>
      <c r="K250" s="4"/>
      <c r="L250" s="3"/>
      <c r="M250" s="4"/>
      <c r="N250" s="4"/>
      <c r="O250" s="4"/>
    </row>
    <row r="251" spans="1:15">
      <c r="A251" s="3" t="str">
        <f t="shared" si="6"/>
        <v/>
      </c>
      <c r="B251" s="5"/>
      <c r="C251" s="23"/>
      <c r="D251" s="4" t="str">
        <f>IF(C251="","",IFERROR(VLOOKUP(C251,'Calibrated Tools Register'!B:C,2,FALSE),"NOT registered"))</f>
        <v/>
      </c>
      <c r="E251" s="5"/>
      <c r="F251" s="6"/>
      <c r="G251" s="5"/>
      <c r="H251" s="5" t="str">
        <f ca="1">IFERROR(VLOOKUP(C251,'Calibrated Tools Register'!B:M,12,FALSE)-TODAY(),"")</f>
        <v/>
      </c>
      <c r="I251" s="3" t="str">
        <f t="shared" ca="1" si="7"/>
        <v/>
      </c>
      <c r="J251" s="5"/>
      <c r="K251" s="6"/>
      <c r="L251" s="5"/>
      <c r="M251" s="6"/>
      <c r="N251" s="6"/>
      <c r="O251" s="6"/>
    </row>
    <row r="252" spans="1:15">
      <c r="A252" s="3" t="str">
        <f t="shared" si="6"/>
        <v/>
      </c>
      <c r="B252" s="3"/>
      <c r="C252" s="22"/>
      <c r="D252" s="4" t="str">
        <f>IF(C252="","",IFERROR(VLOOKUP(C252,'Calibrated Tools Register'!B:C,2,FALSE),"NOT registered"))</f>
        <v/>
      </c>
      <c r="E252" s="3"/>
      <c r="F252" s="4"/>
      <c r="G252" s="3"/>
      <c r="H252" s="3" t="str">
        <f ca="1">IFERROR(VLOOKUP(C252,'Calibrated Tools Register'!B:M,12,FALSE)-TODAY(),"")</f>
        <v/>
      </c>
      <c r="I252" s="3" t="str">
        <f t="shared" ca="1" si="7"/>
        <v/>
      </c>
      <c r="J252" s="3"/>
      <c r="K252" s="4"/>
      <c r="L252" s="3"/>
      <c r="M252" s="4"/>
      <c r="N252" s="4"/>
      <c r="O252" s="4"/>
    </row>
    <row r="253" spans="1:15">
      <c r="A253" s="3" t="str">
        <f t="shared" si="6"/>
        <v/>
      </c>
      <c r="B253" s="5"/>
      <c r="C253" s="23"/>
      <c r="D253" s="4" t="str">
        <f>IF(C253="","",IFERROR(VLOOKUP(C253,'Calibrated Tools Register'!B:C,2,FALSE),"NOT registered"))</f>
        <v/>
      </c>
      <c r="E253" s="5"/>
      <c r="F253" s="6"/>
      <c r="G253" s="5"/>
      <c r="H253" s="5" t="str">
        <f ca="1">IFERROR(VLOOKUP(C253,'Calibrated Tools Register'!B:M,12,FALSE)-TODAY(),"")</f>
        <v/>
      </c>
      <c r="I253" s="3" t="str">
        <f t="shared" ca="1" si="7"/>
        <v/>
      </c>
      <c r="J253" s="5"/>
      <c r="K253" s="6"/>
      <c r="L253" s="5"/>
      <c r="M253" s="6"/>
      <c r="N253" s="6"/>
      <c r="O253" s="6"/>
    </row>
    <row r="254" spans="1:15">
      <c r="A254" s="3" t="str">
        <f t="shared" si="6"/>
        <v/>
      </c>
      <c r="B254" s="3"/>
      <c r="C254" s="22"/>
      <c r="D254" s="4" t="str">
        <f>IF(C254="","",IFERROR(VLOOKUP(C254,'Calibrated Tools Register'!B:C,2,FALSE),"NOT registered"))</f>
        <v/>
      </c>
      <c r="E254" s="3"/>
      <c r="F254" s="4"/>
      <c r="G254" s="3"/>
      <c r="H254" s="3" t="str">
        <f ca="1">IFERROR(VLOOKUP(C254,'Calibrated Tools Register'!B:M,12,FALSE)-TODAY(),"")</f>
        <v/>
      </c>
      <c r="I254" s="3" t="str">
        <f t="shared" ca="1" si="7"/>
        <v/>
      </c>
      <c r="J254" s="3"/>
      <c r="K254" s="4"/>
      <c r="L254" s="3"/>
      <c r="M254" s="4"/>
      <c r="N254" s="4"/>
      <c r="O254" s="4"/>
    </row>
    <row r="255" spans="1:15">
      <c r="A255" s="3" t="str">
        <f t="shared" si="6"/>
        <v/>
      </c>
      <c r="B255" s="5"/>
      <c r="C255" s="23"/>
      <c r="D255" s="4" t="str">
        <f>IF(C255="","",IFERROR(VLOOKUP(C255,'Calibrated Tools Register'!B:C,2,FALSE),"NOT registered"))</f>
        <v/>
      </c>
      <c r="E255" s="5"/>
      <c r="F255" s="6"/>
      <c r="G255" s="5"/>
      <c r="H255" s="5" t="str">
        <f ca="1">IFERROR(VLOOKUP(C255,'Calibrated Tools Register'!B:M,12,FALSE)-TODAY(),"")</f>
        <v/>
      </c>
      <c r="I255" s="3" t="str">
        <f t="shared" ca="1" si="7"/>
        <v/>
      </c>
      <c r="J255" s="5"/>
      <c r="K255" s="6"/>
      <c r="L255" s="5"/>
      <c r="M255" s="6"/>
      <c r="N255" s="6"/>
      <c r="O255" s="6"/>
    </row>
    <row r="256" spans="1:15">
      <c r="A256" s="3" t="str">
        <f t="shared" si="6"/>
        <v/>
      </c>
      <c r="B256" s="3"/>
      <c r="C256" s="22"/>
      <c r="D256" s="4" t="str">
        <f>IF(C256="","",IFERROR(VLOOKUP(C256,'Calibrated Tools Register'!B:C,2,FALSE),"NOT registered"))</f>
        <v/>
      </c>
      <c r="E256" s="3"/>
      <c r="F256" s="4"/>
      <c r="G256" s="3"/>
      <c r="H256" s="3" t="str">
        <f ca="1">IFERROR(VLOOKUP(C256,'Calibrated Tools Register'!B:M,12,FALSE)-TODAY(),"")</f>
        <v/>
      </c>
      <c r="I256" s="3" t="str">
        <f t="shared" ca="1" si="7"/>
        <v/>
      </c>
      <c r="J256" s="3"/>
      <c r="K256" s="4"/>
      <c r="L256" s="3"/>
      <c r="M256" s="4"/>
      <c r="N256" s="4"/>
      <c r="O256" s="4"/>
    </row>
    <row r="257" spans="1:15">
      <c r="A257" s="3" t="str">
        <f t="shared" si="6"/>
        <v/>
      </c>
      <c r="B257" s="5"/>
      <c r="C257" s="23"/>
      <c r="D257" s="4" t="str">
        <f>IF(C257="","",IFERROR(VLOOKUP(C257,'Calibrated Tools Register'!B:C,2,FALSE),"NOT registered"))</f>
        <v/>
      </c>
      <c r="E257" s="5"/>
      <c r="F257" s="6"/>
      <c r="G257" s="5"/>
      <c r="H257" s="5" t="str">
        <f ca="1">IFERROR(VLOOKUP(C257,'Calibrated Tools Register'!B:M,12,FALSE)-TODAY(),"")</f>
        <v/>
      </c>
      <c r="I257" s="3" t="str">
        <f t="shared" ca="1" si="7"/>
        <v/>
      </c>
      <c r="J257" s="5"/>
      <c r="K257" s="6"/>
      <c r="L257" s="5"/>
      <c r="M257" s="6"/>
      <c r="N257" s="6"/>
      <c r="O257" s="6"/>
    </row>
    <row r="258" spans="1:15">
      <c r="A258" s="3" t="str">
        <f t="shared" si="6"/>
        <v/>
      </c>
      <c r="B258" s="3"/>
      <c r="C258" s="22"/>
      <c r="D258" s="4" t="str">
        <f>IF(C258="","",IFERROR(VLOOKUP(C258,'Calibrated Tools Register'!B:C,2,FALSE),"NOT registered"))</f>
        <v/>
      </c>
      <c r="E258" s="3"/>
      <c r="F258" s="4"/>
      <c r="G258" s="3"/>
      <c r="H258" s="3" t="str">
        <f ca="1">IFERROR(VLOOKUP(C258,'Calibrated Tools Register'!B:M,12,FALSE)-TODAY(),"")</f>
        <v/>
      </c>
      <c r="I258" s="3" t="str">
        <f t="shared" ca="1" si="7"/>
        <v/>
      </c>
      <c r="J258" s="3"/>
      <c r="K258" s="4"/>
      <c r="L258" s="3"/>
      <c r="M258" s="4"/>
      <c r="N258" s="4"/>
      <c r="O258" s="4"/>
    </row>
    <row r="259" spans="1:15">
      <c r="A259" s="3" t="str">
        <f t="shared" si="6"/>
        <v/>
      </c>
      <c r="B259" s="5"/>
      <c r="C259" s="23"/>
      <c r="D259" s="4" t="str">
        <f>IF(C259="","",IFERROR(VLOOKUP(C259,'Calibrated Tools Register'!B:C,2,FALSE),"NOT registered"))</f>
        <v/>
      </c>
      <c r="E259" s="5"/>
      <c r="F259" s="6"/>
      <c r="G259" s="5"/>
      <c r="H259" s="5" t="str">
        <f ca="1">IFERROR(VLOOKUP(C259,'Calibrated Tools Register'!B:M,12,FALSE)-TODAY(),"")</f>
        <v/>
      </c>
      <c r="I259" s="3" t="str">
        <f t="shared" ca="1" si="7"/>
        <v/>
      </c>
      <c r="J259" s="5"/>
      <c r="K259" s="6"/>
      <c r="L259" s="5"/>
      <c r="M259" s="6"/>
      <c r="N259" s="6"/>
      <c r="O259" s="6"/>
    </row>
    <row r="260" spans="1:15">
      <c r="A260" s="3" t="str">
        <f t="shared" ref="A260:A323" si="8">IF(C260="","",ROW(C260)-3)</f>
        <v/>
      </c>
      <c r="B260" s="3"/>
      <c r="C260" s="22"/>
      <c r="D260" s="4" t="str">
        <f>IF(C260="","",IFERROR(VLOOKUP(C260,'Calibrated Tools Register'!B:C,2,FALSE),"NOT registered"))</f>
        <v/>
      </c>
      <c r="E260" s="3"/>
      <c r="F260" s="4"/>
      <c r="G260" s="3"/>
      <c r="H260" s="3" t="str">
        <f ca="1">IFERROR(VLOOKUP(C260,'Calibrated Tools Register'!B:M,12,FALSE)-TODAY(),"")</f>
        <v/>
      </c>
      <c r="I260" s="3" t="str">
        <f t="shared" ca="1" si="7"/>
        <v/>
      </c>
      <c r="J260" s="3"/>
      <c r="K260" s="4"/>
      <c r="L260" s="3"/>
      <c r="M260" s="4"/>
      <c r="N260" s="4"/>
      <c r="O260" s="4"/>
    </row>
    <row r="261" spans="1:15">
      <c r="A261" s="3" t="str">
        <f t="shared" si="8"/>
        <v/>
      </c>
      <c r="B261" s="5"/>
      <c r="C261" s="23"/>
      <c r="D261" s="4" t="str">
        <f>IF(C261="","",IFERROR(VLOOKUP(C261,'Calibrated Tools Register'!B:C,2,FALSE),"NOT registered"))</f>
        <v/>
      </c>
      <c r="E261" s="5"/>
      <c r="F261" s="6"/>
      <c r="G261" s="5"/>
      <c r="H261" s="5" t="str">
        <f ca="1">IFERROR(VLOOKUP(C261,'Calibrated Tools Register'!B:M,12,FALSE)-TODAY(),"")</f>
        <v/>
      </c>
      <c r="I261" s="3" t="str">
        <f t="shared" ref="I261:I324" ca="1" si="9">IF(H261="","",IF(H261&lt;=0,"Urgent",IF(H261&lt;=30,"High",IF(H261&lt;=45,"Medium","Low"))))</f>
        <v/>
      </c>
      <c r="J261" s="5"/>
      <c r="K261" s="6"/>
      <c r="L261" s="5"/>
      <c r="M261" s="6"/>
      <c r="N261" s="6"/>
      <c r="O261" s="6"/>
    </row>
    <row r="262" spans="1:15">
      <c r="A262" s="3" t="str">
        <f t="shared" si="8"/>
        <v/>
      </c>
      <c r="B262" s="3"/>
      <c r="C262" s="22"/>
      <c r="D262" s="4" t="str">
        <f>IF(C262="","",IFERROR(VLOOKUP(C262,'Calibrated Tools Register'!B:C,2,FALSE),"NOT registered"))</f>
        <v/>
      </c>
      <c r="E262" s="3"/>
      <c r="F262" s="4"/>
      <c r="G262" s="3"/>
      <c r="H262" s="3" t="str">
        <f ca="1">IFERROR(VLOOKUP(C262,'Calibrated Tools Register'!B:M,12,FALSE)-TODAY(),"")</f>
        <v/>
      </c>
      <c r="I262" s="3" t="str">
        <f t="shared" ca="1" si="9"/>
        <v/>
      </c>
      <c r="J262" s="3"/>
      <c r="K262" s="4"/>
      <c r="L262" s="3"/>
      <c r="M262" s="4"/>
      <c r="N262" s="4"/>
      <c r="O262" s="4"/>
    </row>
    <row r="263" spans="1:15">
      <c r="A263" s="3" t="str">
        <f t="shared" si="8"/>
        <v/>
      </c>
      <c r="B263" s="5"/>
      <c r="C263" s="23"/>
      <c r="D263" s="4" t="str">
        <f>IF(C263="","",IFERROR(VLOOKUP(C263,'Calibrated Tools Register'!B:C,2,FALSE),"NOT registered"))</f>
        <v/>
      </c>
      <c r="E263" s="5"/>
      <c r="F263" s="6"/>
      <c r="G263" s="5"/>
      <c r="H263" s="5" t="str">
        <f ca="1">IFERROR(VLOOKUP(C263,'Calibrated Tools Register'!B:M,12,FALSE)-TODAY(),"")</f>
        <v/>
      </c>
      <c r="I263" s="3" t="str">
        <f t="shared" ca="1" si="9"/>
        <v/>
      </c>
      <c r="J263" s="5"/>
      <c r="K263" s="6"/>
      <c r="L263" s="5"/>
      <c r="M263" s="6"/>
      <c r="N263" s="6"/>
      <c r="O263" s="6"/>
    </row>
    <row r="264" spans="1:15">
      <c r="A264" s="3" t="str">
        <f t="shared" si="8"/>
        <v/>
      </c>
      <c r="B264" s="3"/>
      <c r="C264" s="22"/>
      <c r="D264" s="4" t="str">
        <f>IF(C264="","",IFERROR(VLOOKUP(C264,'Calibrated Tools Register'!B:C,2,FALSE),"NOT registered"))</f>
        <v/>
      </c>
      <c r="E264" s="3"/>
      <c r="F264" s="4"/>
      <c r="G264" s="3"/>
      <c r="H264" s="3" t="str">
        <f ca="1">IFERROR(VLOOKUP(C264,'Calibrated Tools Register'!B:M,12,FALSE)-TODAY(),"")</f>
        <v/>
      </c>
      <c r="I264" s="3" t="str">
        <f t="shared" ca="1" si="9"/>
        <v/>
      </c>
      <c r="J264" s="3"/>
      <c r="K264" s="4"/>
      <c r="L264" s="3"/>
      <c r="M264" s="4"/>
      <c r="N264" s="4"/>
      <c r="O264" s="4"/>
    </row>
    <row r="265" spans="1:15">
      <c r="A265" s="3" t="str">
        <f t="shared" si="8"/>
        <v/>
      </c>
      <c r="B265" s="5"/>
      <c r="C265" s="23"/>
      <c r="D265" s="4" t="str">
        <f>IF(C265="","",IFERROR(VLOOKUP(C265,'Calibrated Tools Register'!B:C,2,FALSE),"NOT registered"))</f>
        <v/>
      </c>
      <c r="E265" s="5"/>
      <c r="F265" s="6"/>
      <c r="G265" s="5"/>
      <c r="H265" s="5" t="str">
        <f ca="1">IFERROR(VLOOKUP(C265,'Calibrated Tools Register'!B:M,12,FALSE)-TODAY(),"")</f>
        <v/>
      </c>
      <c r="I265" s="3" t="str">
        <f t="shared" ca="1" si="9"/>
        <v/>
      </c>
      <c r="J265" s="5"/>
      <c r="K265" s="6"/>
      <c r="L265" s="5"/>
      <c r="M265" s="6"/>
      <c r="N265" s="6"/>
      <c r="O265" s="6"/>
    </row>
    <row r="266" spans="1:15">
      <c r="A266" s="3" t="str">
        <f t="shared" si="8"/>
        <v/>
      </c>
      <c r="B266" s="3"/>
      <c r="C266" s="22"/>
      <c r="D266" s="4" t="str">
        <f>IF(C266="","",IFERROR(VLOOKUP(C266,'Calibrated Tools Register'!B:C,2,FALSE),"NOT registered"))</f>
        <v/>
      </c>
      <c r="E266" s="3"/>
      <c r="F266" s="4"/>
      <c r="G266" s="3"/>
      <c r="H266" s="3" t="str">
        <f ca="1">IFERROR(VLOOKUP(C266,'Calibrated Tools Register'!B:M,12,FALSE)-TODAY(),"")</f>
        <v/>
      </c>
      <c r="I266" s="3" t="str">
        <f t="shared" ca="1" si="9"/>
        <v/>
      </c>
      <c r="J266" s="3"/>
      <c r="K266" s="4"/>
      <c r="L266" s="3"/>
      <c r="M266" s="4"/>
      <c r="N266" s="4"/>
      <c r="O266" s="4"/>
    </row>
    <row r="267" spans="1:15">
      <c r="A267" s="3" t="str">
        <f t="shared" si="8"/>
        <v/>
      </c>
      <c r="B267" s="5"/>
      <c r="C267" s="23"/>
      <c r="D267" s="4" t="str">
        <f>IF(C267="","",IFERROR(VLOOKUP(C267,'Calibrated Tools Register'!B:C,2,FALSE),"NOT registered"))</f>
        <v/>
      </c>
      <c r="E267" s="5"/>
      <c r="F267" s="6"/>
      <c r="G267" s="5"/>
      <c r="H267" s="5" t="str">
        <f ca="1">IFERROR(VLOOKUP(C267,'Calibrated Tools Register'!B:M,12,FALSE)-TODAY(),"")</f>
        <v/>
      </c>
      <c r="I267" s="3" t="str">
        <f t="shared" ca="1" si="9"/>
        <v/>
      </c>
      <c r="J267" s="5"/>
      <c r="K267" s="6"/>
      <c r="L267" s="5"/>
      <c r="M267" s="6"/>
      <c r="N267" s="6"/>
      <c r="O267" s="6"/>
    </row>
    <row r="268" spans="1:15">
      <c r="A268" s="3" t="str">
        <f t="shared" si="8"/>
        <v/>
      </c>
      <c r="B268" s="3"/>
      <c r="C268" s="22"/>
      <c r="D268" s="4" t="str">
        <f>IF(C268="","",IFERROR(VLOOKUP(C268,'Calibrated Tools Register'!B:C,2,FALSE),"NOT registered"))</f>
        <v/>
      </c>
      <c r="E268" s="3"/>
      <c r="F268" s="4"/>
      <c r="G268" s="3"/>
      <c r="H268" s="3" t="str">
        <f ca="1">IFERROR(VLOOKUP(C268,'Calibrated Tools Register'!B:M,12,FALSE)-TODAY(),"")</f>
        <v/>
      </c>
      <c r="I268" s="3" t="str">
        <f t="shared" ca="1" si="9"/>
        <v/>
      </c>
      <c r="J268" s="3"/>
      <c r="K268" s="4"/>
      <c r="L268" s="3"/>
      <c r="M268" s="4"/>
      <c r="N268" s="4"/>
      <c r="O268" s="4"/>
    </row>
    <row r="269" spans="1:15">
      <c r="A269" s="3" t="str">
        <f t="shared" si="8"/>
        <v/>
      </c>
      <c r="B269" s="5"/>
      <c r="C269" s="23"/>
      <c r="D269" s="4" t="str">
        <f>IF(C269="","",IFERROR(VLOOKUP(C269,'Calibrated Tools Register'!B:C,2,FALSE),"NOT registered"))</f>
        <v/>
      </c>
      <c r="E269" s="5"/>
      <c r="F269" s="6"/>
      <c r="G269" s="5"/>
      <c r="H269" s="5" t="str">
        <f ca="1">IFERROR(VLOOKUP(C269,'Calibrated Tools Register'!B:M,12,FALSE)-TODAY(),"")</f>
        <v/>
      </c>
      <c r="I269" s="3" t="str">
        <f t="shared" ca="1" si="9"/>
        <v/>
      </c>
      <c r="J269" s="5"/>
      <c r="K269" s="6"/>
      <c r="L269" s="5"/>
      <c r="M269" s="6"/>
      <c r="N269" s="6"/>
      <c r="O269" s="6"/>
    </row>
    <row r="270" spans="1:15">
      <c r="A270" s="3" t="str">
        <f t="shared" si="8"/>
        <v/>
      </c>
      <c r="B270" s="3"/>
      <c r="C270" s="22"/>
      <c r="D270" s="4" t="str">
        <f>IF(C270="","",IFERROR(VLOOKUP(C270,'Calibrated Tools Register'!B:C,2,FALSE),"NOT registered"))</f>
        <v/>
      </c>
      <c r="E270" s="3"/>
      <c r="F270" s="4"/>
      <c r="G270" s="3"/>
      <c r="H270" s="3" t="str">
        <f ca="1">IFERROR(VLOOKUP(C270,'Calibrated Tools Register'!B:M,12,FALSE)-TODAY(),"")</f>
        <v/>
      </c>
      <c r="I270" s="3" t="str">
        <f t="shared" ca="1" si="9"/>
        <v/>
      </c>
      <c r="J270" s="3"/>
      <c r="K270" s="4"/>
      <c r="L270" s="3"/>
      <c r="M270" s="4"/>
      <c r="N270" s="4"/>
      <c r="O270" s="4"/>
    </row>
    <row r="271" spans="1:15">
      <c r="A271" s="3" t="str">
        <f t="shared" si="8"/>
        <v/>
      </c>
      <c r="B271" s="5"/>
      <c r="C271" s="23"/>
      <c r="D271" s="4" t="str">
        <f>IF(C271="","",IFERROR(VLOOKUP(C271,'Calibrated Tools Register'!B:C,2,FALSE),"NOT registered"))</f>
        <v/>
      </c>
      <c r="E271" s="5"/>
      <c r="F271" s="6"/>
      <c r="G271" s="5"/>
      <c r="H271" s="5" t="str">
        <f ca="1">IFERROR(VLOOKUP(C271,'Calibrated Tools Register'!B:M,12,FALSE)-TODAY(),"")</f>
        <v/>
      </c>
      <c r="I271" s="3" t="str">
        <f t="shared" ca="1" si="9"/>
        <v/>
      </c>
      <c r="J271" s="5"/>
      <c r="K271" s="6"/>
      <c r="L271" s="5"/>
      <c r="M271" s="6"/>
      <c r="N271" s="6"/>
      <c r="O271" s="6"/>
    </row>
    <row r="272" spans="1:15">
      <c r="A272" s="3" t="str">
        <f t="shared" si="8"/>
        <v/>
      </c>
      <c r="B272" s="3"/>
      <c r="C272" s="22"/>
      <c r="D272" s="4" t="str">
        <f>IF(C272="","",IFERROR(VLOOKUP(C272,'Calibrated Tools Register'!B:C,2,FALSE),"NOT registered"))</f>
        <v/>
      </c>
      <c r="E272" s="3"/>
      <c r="F272" s="4"/>
      <c r="G272" s="3"/>
      <c r="H272" s="3" t="str">
        <f ca="1">IFERROR(VLOOKUP(C272,'Calibrated Tools Register'!B:M,12,FALSE)-TODAY(),"")</f>
        <v/>
      </c>
      <c r="I272" s="3" t="str">
        <f t="shared" ca="1" si="9"/>
        <v/>
      </c>
      <c r="J272" s="3"/>
      <c r="K272" s="4"/>
      <c r="L272" s="3"/>
      <c r="M272" s="4"/>
      <c r="N272" s="4"/>
      <c r="O272" s="4"/>
    </row>
    <row r="273" spans="1:15">
      <c r="A273" s="3" t="str">
        <f t="shared" si="8"/>
        <v/>
      </c>
      <c r="B273" s="5"/>
      <c r="C273" s="23"/>
      <c r="D273" s="4" t="str">
        <f>IF(C273="","",IFERROR(VLOOKUP(C273,'Calibrated Tools Register'!B:C,2,FALSE),"NOT registered"))</f>
        <v/>
      </c>
      <c r="E273" s="5"/>
      <c r="F273" s="6"/>
      <c r="G273" s="5"/>
      <c r="H273" s="5" t="str">
        <f ca="1">IFERROR(VLOOKUP(C273,'Calibrated Tools Register'!B:M,12,FALSE)-TODAY(),"")</f>
        <v/>
      </c>
      <c r="I273" s="3" t="str">
        <f t="shared" ca="1" si="9"/>
        <v/>
      </c>
      <c r="J273" s="5"/>
      <c r="K273" s="6"/>
      <c r="L273" s="5"/>
      <c r="M273" s="6"/>
      <c r="N273" s="6"/>
      <c r="O273" s="6"/>
    </row>
    <row r="274" spans="1:15">
      <c r="A274" s="3" t="str">
        <f t="shared" si="8"/>
        <v/>
      </c>
      <c r="B274" s="3"/>
      <c r="C274" s="22"/>
      <c r="D274" s="4" t="str">
        <f>IF(C274="","",IFERROR(VLOOKUP(C274,'Calibrated Tools Register'!B:C,2,FALSE),"NOT registered"))</f>
        <v/>
      </c>
      <c r="E274" s="3"/>
      <c r="F274" s="4"/>
      <c r="G274" s="3"/>
      <c r="H274" s="3" t="str">
        <f ca="1">IFERROR(VLOOKUP(C274,'Calibrated Tools Register'!B:M,12,FALSE)-TODAY(),"")</f>
        <v/>
      </c>
      <c r="I274" s="3" t="str">
        <f t="shared" ca="1" si="9"/>
        <v/>
      </c>
      <c r="J274" s="3"/>
      <c r="K274" s="4"/>
      <c r="L274" s="3"/>
      <c r="M274" s="4"/>
      <c r="N274" s="4"/>
      <c r="O274" s="4"/>
    </row>
    <row r="275" spans="1:15">
      <c r="A275" s="3" t="str">
        <f t="shared" si="8"/>
        <v/>
      </c>
      <c r="B275" s="5"/>
      <c r="C275" s="23"/>
      <c r="D275" s="4" t="str">
        <f>IF(C275="","",IFERROR(VLOOKUP(C275,'Calibrated Tools Register'!B:C,2,FALSE),"NOT registered"))</f>
        <v/>
      </c>
      <c r="E275" s="5"/>
      <c r="F275" s="6"/>
      <c r="G275" s="5"/>
      <c r="H275" s="5" t="str">
        <f ca="1">IFERROR(VLOOKUP(C275,'Calibrated Tools Register'!B:M,12,FALSE)-TODAY(),"")</f>
        <v/>
      </c>
      <c r="I275" s="3" t="str">
        <f t="shared" ca="1" si="9"/>
        <v/>
      </c>
      <c r="J275" s="5"/>
      <c r="K275" s="6"/>
      <c r="L275" s="5"/>
      <c r="M275" s="6"/>
      <c r="N275" s="6"/>
      <c r="O275" s="6"/>
    </row>
    <row r="276" spans="1:15">
      <c r="A276" s="3" t="str">
        <f t="shared" si="8"/>
        <v/>
      </c>
      <c r="B276" s="3"/>
      <c r="C276" s="22"/>
      <c r="D276" s="4" t="str">
        <f>IF(C276="","",IFERROR(VLOOKUP(C276,'Calibrated Tools Register'!B:C,2,FALSE),"NOT registered"))</f>
        <v/>
      </c>
      <c r="E276" s="3"/>
      <c r="F276" s="4"/>
      <c r="G276" s="3"/>
      <c r="H276" s="3" t="str">
        <f ca="1">IFERROR(VLOOKUP(C276,'Calibrated Tools Register'!B:M,12,FALSE)-TODAY(),"")</f>
        <v/>
      </c>
      <c r="I276" s="3" t="str">
        <f t="shared" ca="1" si="9"/>
        <v/>
      </c>
      <c r="J276" s="3"/>
      <c r="K276" s="4"/>
      <c r="L276" s="3"/>
      <c r="M276" s="4"/>
      <c r="N276" s="4"/>
      <c r="O276" s="4"/>
    </row>
    <row r="277" spans="1:15">
      <c r="A277" s="3" t="str">
        <f t="shared" si="8"/>
        <v/>
      </c>
      <c r="B277" s="5"/>
      <c r="C277" s="23"/>
      <c r="D277" s="4" t="str">
        <f>IF(C277="","",IFERROR(VLOOKUP(C277,'Calibrated Tools Register'!B:C,2,FALSE),"NOT registered"))</f>
        <v/>
      </c>
      <c r="E277" s="5"/>
      <c r="F277" s="6"/>
      <c r="G277" s="5"/>
      <c r="H277" s="5" t="str">
        <f ca="1">IFERROR(VLOOKUP(C277,'Calibrated Tools Register'!B:M,12,FALSE)-TODAY(),"")</f>
        <v/>
      </c>
      <c r="I277" s="3" t="str">
        <f t="shared" ca="1" si="9"/>
        <v/>
      </c>
      <c r="J277" s="5"/>
      <c r="K277" s="6"/>
      <c r="L277" s="5"/>
      <c r="M277" s="6"/>
      <c r="N277" s="6"/>
      <c r="O277" s="6"/>
    </row>
    <row r="278" spans="1:15">
      <c r="A278" s="3" t="str">
        <f t="shared" si="8"/>
        <v/>
      </c>
      <c r="B278" s="3"/>
      <c r="C278" s="22"/>
      <c r="D278" s="4" t="str">
        <f>IF(C278="","",IFERROR(VLOOKUP(C278,'Calibrated Tools Register'!B:C,2,FALSE),"NOT registered"))</f>
        <v/>
      </c>
      <c r="E278" s="3"/>
      <c r="F278" s="4"/>
      <c r="G278" s="3"/>
      <c r="H278" s="3" t="str">
        <f ca="1">IFERROR(VLOOKUP(C278,'Calibrated Tools Register'!B:M,12,FALSE)-TODAY(),"")</f>
        <v/>
      </c>
      <c r="I278" s="3" t="str">
        <f t="shared" ca="1" si="9"/>
        <v/>
      </c>
      <c r="J278" s="3"/>
      <c r="K278" s="4"/>
      <c r="L278" s="3"/>
      <c r="M278" s="4"/>
      <c r="N278" s="4"/>
      <c r="O278" s="4"/>
    </row>
    <row r="279" spans="1:15">
      <c r="A279" s="3" t="str">
        <f t="shared" si="8"/>
        <v/>
      </c>
      <c r="B279" s="5"/>
      <c r="C279" s="23"/>
      <c r="D279" s="4" t="str">
        <f>IF(C279="","",IFERROR(VLOOKUP(C279,'Calibrated Tools Register'!B:C,2,FALSE),"NOT registered"))</f>
        <v/>
      </c>
      <c r="E279" s="5"/>
      <c r="F279" s="6"/>
      <c r="G279" s="5"/>
      <c r="H279" s="5" t="str">
        <f ca="1">IFERROR(VLOOKUP(C279,'Calibrated Tools Register'!B:M,12,FALSE)-TODAY(),"")</f>
        <v/>
      </c>
      <c r="I279" s="3" t="str">
        <f t="shared" ca="1" si="9"/>
        <v/>
      </c>
      <c r="J279" s="5"/>
      <c r="K279" s="6"/>
      <c r="L279" s="5"/>
      <c r="M279" s="6"/>
      <c r="N279" s="6"/>
      <c r="O279" s="6"/>
    </row>
    <row r="280" spans="1:15">
      <c r="A280" s="3" t="str">
        <f t="shared" si="8"/>
        <v/>
      </c>
      <c r="B280" s="3"/>
      <c r="C280" s="22"/>
      <c r="D280" s="4" t="str">
        <f>IF(C280="","",IFERROR(VLOOKUP(C280,'Calibrated Tools Register'!B:C,2,FALSE),"NOT registered"))</f>
        <v/>
      </c>
      <c r="E280" s="3"/>
      <c r="F280" s="4"/>
      <c r="G280" s="3"/>
      <c r="H280" s="3" t="str">
        <f ca="1">IFERROR(VLOOKUP(C280,'Calibrated Tools Register'!B:M,12,FALSE)-TODAY(),"")</f>
        <v/>
      </c>
      <c r="I280" s="3" t="str">
        <f t="shared" ca="1" si="9"/>
        <v/>
      </c>
      <c r="J280" s="3"/>
      <c r="K280" s="4"/>
      <c r="L280" s="3"/>
      <c r="M280" s="4"/>
      <c r="N280" s="4"/>
      <c r="O280" s="4"/>
    </row>
    <row r="281" spans="1:15">
      <c r="A281" s="3" t="str">
        <f t="shared" si="8"/>
        <v/>
      </c>
      <c r="B281" s="5"/>
      <c r="C281" s="23"/>
      <c r="D281" s="4" t="str">
        <f>IF(C281="","",IFERROR(VLOOKUP(C281,'Calibrated Tools Register'!B:C,2,FALSE),"NOT registered"))</f>
        <v/>
      </c>
      <c r="E281" s="5"/>
      <c r="F281" s="6"/>
      <c r="G281" s="5"/>
      <c r="H281" s="5" t="str">
        <f ca="1">IFERROR(VLOOKUP(C281,'Calibrated Tools Register'!B:M,12,FALSE)-TODAY(),"")</f>
        <v/>
      </c>
      <c r="I281" s="3" t="str">
        <f t="shared" ca="1" si="9"/>
        <v/>
      </c>
      <c r="J281" s="5"/>
      <c r="K281" s="6"/>
      <c r="L281" s="5"/>
      <c r="M281" s="6"/>
      <c r="N281" s="6"/>
      <c r="O281" s="6"/>
    </row>
    <row r="282" spans="1:15">
      <c r="A282" s="3" t="str">
        <f t="shared" si="8"/>
        <v/>
      </c>
      <c r="B282" s="3"/>
      <c r="C282" s="22"/>
      <c r="D282" s="4" t="str">
        <f>IF(C282="","",IFERROR(VLOOKUP(C282,'Calibrated Tools Register'!B:C,2,FALSE),"NOT registered"))</f>
        <v/>
      </c>
      <c r="E282" s="3"/>
      <c r="F282" s="4"/>
      <c r="G282" s="3"/>
      <c r="H282" s="3" t="str">
        <f ca="1">IFERROR(VLOOKUP(C282,'Calibrated Tools Register'!B:M,12,FALSE)-TODAY(),"")</f>
        <v/>
      </c>
      <c r="I282" s="3" t="str">
        <f t="shared" ca="1" si="9"/>
        <v/>
      </c>
      <c r="J282" s="3"/>
      <c r="K282" s="4"/>
      <c r="L282" s="3"/>
      <c r="M282" s="4"/>
      <c r="N282" s="4"/>
      <c r="O282" s="4"/>
    </row>
    <row r="283" spans="1:15">
      <c r="A283" s="3" t="str">
        <f t="shared" si="8"/>
        <v/>
      </c>
      <c r="B283" s="5"/>
      <c r="C283" s="23"/>
      <c r="D283" s="4" t="str">
        <f>IF(C283="","",IFERROR(VLOOKUP(C283,'Calibrated Tools Register'!B:C,2,FALSE),"NOT registered"))</f>
        <v/>
      </c>
      <c r="E283" s="5"/>
      <c r="F283" s="6"/>
      <c r="G283" s="5"/>
      <c r="H283" s="5" t="str">
        <f ca="1">IFERROR(VLOOKUP(C283,'Calibrated Tools Register'!B:M,12,FALSE)-TODAY(),"")</f>
        <v/>
      </c>
      <c r="I283" s="3" t="str">
        <f t="shared" ca="1" si="9"/>
        <v/>
      </c>
      <c r="J283" s="5"/>
      <c r="K283" s="6"/>
      <c r="L283" s="5"/>
      <c r="M283" s="6"/>
      <c r="N283" s="6"/>
      <c r="O283" s="6"/>
    </row>
    <row r="284" spans="1:15">
      <c r="A284" s="3" t="str">
        <f t="shared" si="8"/>
        <v/>
      </c>
      <c r="B284" s="3"/>
      <c r="C284" s="22"/>
      <c r="D284" s="4" t="str">
        <f>IF(C284="","",IFERROR(VLOOKUP(C284,'Calibrated Tools Register'!B:C,2,FALSE),"NOT registered"))</f>
        <v/>
      </c>
      <c r="E284" s="3"/>
      <c r="F284" s="4"/>
      <c r="G284" s="3"/>
      <c r="H284" s="3" t="str">
        <f ca="1">IFERROR(VLOOKUP(C284,'Calibrated Tools Register'!B:M,12,FALSE)-TODAY(),"")</f>
        <v/>
      </c>
      <c r="I284" s="3" t="str">
        <f t="shared" ca="1" si="9"/>
        <v/>
      </c>
      <c r="J284" s="3"/>
      <c r="K284" s="4"/>
      <c r="L284" s="3"/>
      <c r="M284" s="4"/>
      <c r="N284" s="4"/>
      <c r="O284" s="4"/>
    </row>
    <row r="285" spans="1:15">
      <c r="A285" s="3" t="str">
        <f t="shared" si="8"/>
        <v/>
      </c>
      <c r="B285" s="5"/>
      <c r="C285" s="23"/>
      <c r="D285" s="4" t="str">
        <f>IF(C285="","",IFERROR(VLOOKUP(C285,'Calibrated Tools Register'!B:C,2,FALSE),"NOT registered"))</f>
        <v/>
      </c>
      <c r="E285" s="5"/>
      <c r="F285" s="6"/>
      <c r="G285" s="5"/>
      <c r="H285" s="5" t="str">
        <f ca="1">IFERROR(VLOOKUP(C285,'Calibrated Tools Register'!B:M,12,FALSE)-TODAY(),"")</f>
        <v/>
      </c>
      <c r="I285" s="3" t="str">
        <f t="shared" ca="1" si="9"/>
        <v/>
      </c>
      <c r="J285" s="5"/>
      <c r="K285" s="6"/>
      <c r="L285" s="5"/>
      <c r="M285" s="6"/>
      <c r="N285" s="6"/>
      <c r="O285" s="6"/>
    </row>
    <row r="286" spans="1:15">
      <c r="A286" s="3" t="str">
        <f t="shared" si="8"/>
        <v/>
      </c>
      <c r="B286" s="3"/>
      <c r="C286" s="22"/>
      <c r="D286" s="4" t="str">
        <f>IF(C286="","",IFERROR(VLOOKUP(C286,'Calibrated Tools Register'!B:C,2,FALSE),"NOT registered"))</f>
        <v/>
      </c>
      <c r="E286" s="3"/>
      <c r="F286" s="4"/>
      <c r="G286" s="3"/>
      <c r="H286" s="3" t="str">
        <f ca="1">IFERROR(VLOOKUP(C286,'Calibrated Tools Register'!B:M,12,FALSE)-TODAY(),"")</f>
        <v/>
      </c>
      <c r="I286" s="3" t="str">
        <f t="shared" ca="1" si="9"/>
        <v/>
      </c>
      <c r="J286" s="3"/>
      <c r="K286" s="4"/>
      <c r="L286" s="3"/>
      <c r="M286" s="4"/>
      <c r="N286" s="4"/>
      <c r="O286" s="4"/>
    </row>
    <row r="287" spans="1:15">
      <c r="A287" s="3" t="str">
        <f t="shared" si="8"/>
        <v/>
      </c>
      <c r="B287" s="5"/>
      <c r="C287" s="23"/>
      <c r="D287" s="4" t="str">
        <f>IF(C287="","",IFERROR(VLOOKUP(C287,'Calibrated Tools Register'!B:C,2,FALSE),"NOT registered"))</f>
        <v/>
      </c>
      <c r="E287" s="5"/>
      <c r="F287" s="6"/>
      <c r="G287" s="5"/>
      <c r="H287" s="5" t="str">
        <f ca="1">IFERROR(VLOOKUP(C287,'Calibrated Tools Register'!B:M,12,FALSE)-TODAY(),"")</f>
        <v/>
      </c>
      <c r="I287" s="3" t="str">
        <f t="shared" ca="1" si="9"/>
        <v/>
      </c>
      <c r="J287" s="5"/>
      <c r="K287" s="6"/>
      <c r="L287" s="5"/>
      <c r="M287" s="6"/>
      <c r="N287" s="6"/>
      <c r="O287" s="6"/>
    </row>
    <row r="288" spans="1:15">
      <c r="A288" s="3" t="str">
        <f t="shared" si="8"/>
        <v/>
      </c>
      <c r="B288" s="3"/>
      <c r="C288" s="22"/>
      <c r="D288" s="4" t="str">
        <f>IF(C288="","",IFERROR(VLOOKUP(C288,'Calibrated Tools Register'!B:C,2,FALSE),"NOT registered"))</f>
        <v/>
      </c>
      <c r="E288" s="3"/>
      <c r="F288" s="4"/>
      <c r="G288" s="3"/>
      <c r="H288" s="3" t="str">
        <f ca="1">IFERROR(VLOOKUP(C288,'Calibrated Tools Register'!B:M,12,FALSE)-TODAY(),"")</f>
        <v/>
      </c>
      <c r="I288" s="3" t="str">
        <f t="shared" ca="1" si="9"/>
        <v/>
      </c>
      <c r="J288" s="3"/>
      <c r="K288" s="4"/>
      <c r="L288" s="3"/>
      <c r="M288" s="4"/>
      <c r="N288" s="4"/>
      <c r="O288" s="4"/>
    </row>
    <row r="289" spans="1:15">
      <c r="A289" s="3" t="str">
        <f t="shared" si="8"/>
        <v/>
      </c>
      <c r="B289" s="5"/>
      <c r="C289" s="23"/>
      <c r="D289" s="4" t="str">
        <f>IF(C289="","",IFERROR(VLOOKUP(C289,'Calibrated Tools Register'!B:C,2,FALSE),"NOT registered"))</f>
        <v/>
      </c>
      <c r="E289" s="5"/>
      <c r="F289" s="6"/>
      <c r="G289" s="5"/>
      <c r="H289" s="5" t="str">
        <f ca="1">IFERROR(VLOOKUP(C289,'Calibrated Tools Register'!B:M,12,FALSE)-TODAY(),"")</f>
        <v/>
      </c>
      <c r="I289" s="3" t="str">
        <f t="shared" ca="1" si="9"/>
        <v/>
      </c>
      <c r="J289" s="5"/>
      <c r="K289" s="6"/>
      <c r="L289" s="5"/>
      <c r="M289" s="6"/>
      <c r="N289" s="6"/>
      <c r="O289" s="6"/>
    </row>
    <row r="290" spans="1:15">
      <c r="A290" s="3" t="str">
        <f t="shared" si="8"/>
        <v/>
      </c>
      <c r="B290" s="3"/>
      <c r="C290" s="22"/>
      <c r="D290" s="4" t="str">
        <f>IF(C290="","",IFERROR(VLOOKUP(C290,'Calibrated Tools Register'!B:C,2,FALSE),"NOT registered"))</f>
        <v/>
      </c>
      <c r="E290" s="3"/>
      <c r="F290" s="4"/>
      <c r="G290" s="3"/>
      <c r="H290" s="3" t="str">
        <f ca="1">IFERROR(VLOOKUP(C290,'Calibrated Tools Register'!B:M,12,FALSE)-TODAY(),"")</f>
        <v/>
      </c>
      <c r="I290" s="3" t="str">
        <f t="shared" ca="1" si="9"/>
        <v/>
      </c>
      <c r="J290" s="3"/>
      <c r="K290" s="4"/>
      <c r="L290" s="3"/>
      <c r="M290" s="4"/>
      <c r="N290" s="4"/>
      <c r="O290" s="4"/>
    </row>
    <row r="291" spans="1:15">
      <c r="A291" s="3" t="str">
        <f t="shared" si="8"/>
        <v/>
      </c>
      <c r="B291" s="5"/>
      <c r="C291" s="23"/>
      <c r="D291" s="4" t="str">
        <f>IF(C291="","",IFERROR(VLOOKUP(C291,'Calibrated Tools Register'!B:C,2,FALSE),"NOT registered"))</f>
        <v/>
      </c>
      <c r="E291" s="5"/>
      <c r="F291" s="6"/>
      <c r="G291" s="5"/>
      <c r="H291" s="5" t="str">
        <f ca="1">IFERROR(VLOOKUP(C291,'Calibrated Tools Register'!B:M,12,FALSE)-TODAY(),"")</f>
        <v/>
      </c>
      <c r="I291" s="3" t="str">
        <f t="shared" ca="1" si="9"/>
        <v/>
      </c>
      <c r="J291" s="5"/>
      <c r="K291" s="6"/>
      <c r="L291" s="5"/>
      <c r="M291" s="6"/>
      <c r="N291" s="6"/>
      <c r="O291" s="6"/>
    </row>
    <row r="292" spans="1:15">
      <c r="A292" s="3" t="str">
        <f t="shared" si="8"/>
        <v/>
      </c>
      <c r="B292" s="3"/>
      <c r="C292" s="22"/>
      <c r="D292" s="4" t="str">
        <f>IF(C292="","",IFERROR(VLOOKUP(C292,'Calibrated Tools Register'!B:C,2,FALSE),"NOT registered"))</f>
        <v/>
      </c>
      <c r="E292" s="3"/>
      <c r="F292" s="4"/>
      <c r="G292" s="3"/>
      <c r="H292" s="3" t="str">
        <f ca="1">IFERROR(VLOOKUP(C292,'Calibrated Tools Register'!B:M,12,FALSE)-TODAY(),"")</f>
        <v/>
      </c>
      <c r="I292" s="3" t="str">
        <f t="shared" ca="1" si="9"/>
        <v/>
      </c>
      <c r="J292" s="3"/>
      <c r="K292" s="4"/>
      <c r="L292" s="3"/>
      <c r="M292" s="4"/>
      <c r="N292" s="4"/>
      <c r="O292" s="4"/>
    </row>
    <row r="293" spans="1:15">
      <c r="A293" s="3" t="str">
        <f t="shared" si="8"/>
        <v/>
      </c>
      <c r="B293" s="5"/>
      <c r="C293" s="23"/>
      <c r="D293" s="4" t="str">
        <f>IF(C293="","",IFERROR(VLOOKUP(C293,'Calibrated Tools Register'!B:C,2,FALSE),"NOT registered"))</f>
        <v/>
      </c>
      <c r="E293" s="5"/>
      <c r="F293" s="6"/>
      <c r="G293" s="5"/>
      <c r="H293" s="5" t="str">
        <f ca="1">IFERROR(VLOOKUP(C293,'Calibrated Tools Register'!B:M,12,FALSE)-TODAY(),"")</f>
        <v/>
      </c>
      <c r="I293" s="3" t="str">
        <f t="shared" ca="1" si="9"/>
        <v/>
      </c>
      <c r="J293" s="5"/>
      <c r="K293" s="6"/>
      <c r="L293" s="5"/>
      <c r="M293" s="6"/>
      <c r="N293" s="6"/>
      <c r="O293" s="6"/>
    </row>
    <row r="294" spans="1:15">
      <c r="A294" s="3" t="str">
        <f t="shared" si="8"/>
        <v/>
      </c>
      <c r="B294" s="3"/>
      <c r="C294" s="22"/>
      <c r="D294" s="4" t="str">
        <f>IF(C294="","",IFERROR(VLOOKUP(C294,'Calibrated Tools Register'!B:C,2,FALSE),"NOT registered"))</f>
        <v/>
      </c>
      <c r="E294" s="3"/>
      <c r="F294" s="4"/>
      <c r="G294" s="3"/>
      <c r="H294" s="3" t="str">
        <f ca="1">IFERROR(VLOOKUP(C294,'Calibrated Tools Register'!B:M,12,FALSE)-TODAY(),"")</f>
        <v/>
      </c>
      <c r="I294" s="3" t="str">
        <f t="shared" ca="1" si="9"/>
        <v/>
      </c>
      <c r="J294" s="3"/>
      <c r="K294" s="4"/>
      <c r="L294" s="3"/>
      <c r="M294" s="4"/>
      <c r="N294" s="4"/>
      <c r="O294" s="4"/>
    </row>
    <row r="295" spans="1:15">
      <c r="A295" s="3" t="str">
        <f t="shared" si="8"/>
        <v/>
      </c>
      <c r="B295" s="5"/>
      <c r="C295" s="23"/>
      <c r="D295" s="4" t="str">
        <f>IF(C295="","",IFERROR(VLOOKUP(C295,'Calibrated Tools Register'!B:C,2,FALSE),"NOT registered"))</f>
        <v/>
      </c>
      <c r="E295" s="5"/>
      <c r="F295" s="6"/>
      <c r="G295" s="5"/>
      <c r="H295" s="5" t="str">
        <f ca="1">IFERROR(VLOOKUP(C295,'Calibrated Tools Register'!B:M,12,FALSE)-TODAY(),"")</f>
        <v/>
      </c>
      <c r="I295" s="3" t="str">
        <f t="shared" ca="1" si="9"/>
        <v/>
      </c>
      <c r="J295" s="5"/>
      <c r="K295" s="6"/>
      <c r="L295" s="5"/>
      <c r="M295" s="6"/>
      <c r="N295" s="6"/>
      <c r="O295" s="6"/>
    </row>
    <row r="296" spans="1:15">
      <c r="A296" s="3" t="str">
        <f t="shared" si="8"/>
        <v/>
      </c>
      <c r="B296" s="3"/>
      <c r="C296" s="22"/>
      <c r="D296" s="4" t="str">
        <f>IF(C296="","",IFERROR(VLOOKUP(C296,'Calibrated Tools Register'!B:C,2,FALSE),"NOT registered"))</f>
        <v/>
      </c>
      <c r="E296" s="3"/>
      <c r="F296" s="4"/>
      <c r="G296" s="3"/>
      <c r="H296" s="3" t="str">
        <f ca="1">IFERROR(VLOOKUP(C296,'Calibrated Tools Register'!B:M,12,FALSE)-TODAY(),"")</f>
        <v/>
      </c>
      <c r="I296" s="3" t="str">
        <f t="shared" ca="1" si="9"/>
        <v/>
      </c>
      <c r="J296" s="3"/>
      <c r="K296" s="4"/>
      <c r="L296" s="3"/>
      <c r="M296" s="4"/>
      <c r="N296" s="4"/>
      <c r="O296" s="4"/>
    </row>
    <row r="297" spans="1:15">
      <c r="A297" s="3" t="str">
        <f t="shared" si="8"/>
        <v/>
      </c>
      <c r="B297" s="5"/>
      <c r="C297" s="23"/>
      <c r="D297" s="4" t="str">
        <f>IF(C297="","",IFERROR(VLOOKUP(C297,'Calibrated Tools Register'!B:C,2,FALSE),"NOT registered"))</f>
        <v/>
      </c>
      <c r="E297" s="5"/>
      <c r="F297" s="6"/>
      <c r="G297" s="5"/>
      <c r="H297" s="5" t="str">
        <f ca="1">IFERROR(VLOOKUP(C297,'Calibrated Tools Register'!B:M,12,FALSE)-TODAY(),"")</f>
        <v/>
      </c>
      <c r="I297" s="3" t="str">
        <f t="shared" ca="1" si="9"/>
        <v/>
      </c>
      <c r="J297" s="5"/>
      <c r="K297" s="6"/>
      <c r="L297" s="5"/>
      <c r="M297" s="6"/>
      <c r="N297" s="6"/>
      <c r="O297" s="6"/>
    </row>
    <row r="298" spans="1:15">
      <c r="A298" s="3" t="str">
        <f t="shared" si="8"/>
        <v/>
      </c>
      <c r="B298" s="3"/>
      <c r="C298" s="22"/>
      <c r="D298" s="4" t="str">
        <f>IF(C298="","",IFERROR(VLOOKUP(C298,'Calibrated Tools Register'!B:C,2,FALSE),"NOT registered"))</f>
        <v/>
      </c>
      <c r="E298" s="3"/>
      <c r="F298" s="4"/>
      <c r="G298" s="3"/>
      <c r="H298" s="3" t="str">
        <f ca="1">IFERROR(VLOOKUP(C298,'Calibrated Tools Register'!B:M,12,FALSE)-TODAY(),"")</f>
        <v/>
      </c>
      <c r="I298" s="3" t="str">
        <f t="shared" ca="1" si="9"/>
        <v/>
      </c>
      <c r="J298" s="3"/>
      <c r="K298" s="4"/>
      <c r="L298" s="3"/>
      <c r="M298" s="4"/>
      <c r="N298" s="4"/>
      <c r="O298" s="4"/>
    </row>
    <row r="299" spans="1:15">
      <c r="A299" s="3" t="str">
        <f t="shared" si="8"/>
        <v/>
      </c>
      <c r="B299" s="5"/>
      <c r="C299" s="23"/>
      <c r="D299" s="4" t="str">
        <f>IF(C299="","",IFERROR(VLOOKUP(C299,'Calibrated Tools Register'!B:C,2,FALSE),"NOT registered"))</f>
        <v/>
      </c>
      <c r="E299" s="5"/>
      <c r="F299" s="6"/>
      <c r="G299" s="5"/>
      <c r="H299" s="5" t="str">
        <f ca="1">IFERROR(VLOOKUP(C299,'Calibrated Tools Register'!B:M,12,FALSE)-TODAY(),"")</f>
        <v/>
      </c>
      <c r="I299" s="3" t="str">
        <f t="shared" ca="1" si="9"/>
        <v/>
      </c>
      <c r="J299" s="5"/>
      <c r="K299" s="6"/>
      <c r="L299" s="5"/>
      <c r="M299" s="6"/>
      <c r="N299" s="6"/>
      <c r="O299" s="6"/>
    </row>
    <row r="300" spans="1:15">
      <c r="A300" s="3" t="str">
        <f t="shared" si="8"/>
        <v/>
      </c>
      <c r="B300" s="3"/>
      <c r="C300" s="22"/>
      <c r="D300" s="4" t="str">
        <f>IF(C300="","",IFERROR(VLOOKUP(C300,'Calibrated Tools Register'!B:C,2,FALSE),"NOT registered"))</f>
        <v/>
      </c>
      <c r="E300" s="3"/>
      <c r="F300" s="4"/>
      <c r="G300" s="3"/>
      <c r="H300" s="3" t="str">
        <f ca="1">IFERROR(VLOOKUP(C300,'Calibrated Tools Register'!B:M,12,FALSE)-TODAY(),"")</f>
        <v/>
      </c>
      <c r="I300" s="3" t="str">
        <f t="shared" ca="1" si="9"/>
        <v/>
      </c>
      <c r="J300" s="3"/>
      <c r="K300" s="4"/>
      <c r="L300" s="3"/>
      <c r="M300" s="4"/>
      <c r="N300" s="4"/>
      <c r="O300" s="4"/>
    </row>
    <row r="301" spans="1:15">
      <c r="A301" s="3" t="str">
        <f t="shared" si="8"/>
        <v/>
      </c>
      <c r="B301" s="5"/>
      <c r="C301" s="23"/>
      <c r="D301" s="4" t="str">
        <f>IF(C301="","",IFERROR(VLOOKUP(C301,'Calibrated Tools Register'!B:C,2,FALSE),"NOT registered"))</f>
        <v/>
      </c>
      <c r="E301" s="5"/>
      <c r="F301" s="6"/>
      <c r="G301" s="5"/>
      <c r="H301" s="5" t="str">
        <f ca="1">IFERROR(VLOOKUP(C301,'Calibrated Tools Register'!B:M,12,FALSE)-TODAY(),"")</f>
        <v/>
      </c>
      <c r="I301" s="3" t="str">
        <f t="shared" ca="1" si="9"/>
        <v/>
      </c>
      <c r="J301" s="5"/>
      <c r="K301" s="6"/>
      <c r="L301" s="5"/>
      <c r="M301" s="6"/>
      <c r="N301" s="6"/>
      <c r="O301" s="6"/>
    </row>
    <row r="302" spans="1:15">
      <c r="A302" s="3" t="str">
        <f t="shared" si="8"/>
        <v/>
      </c>
      <c r="B302" s="3"/>
      <c r="C302" s="22"/>
      <c r="D302" s="4" t="str">
        <f>IF(C302="","",IFERROR(VLOOKUP(C302,'Calibrated Tools Register'!B:C,2,FALSE),"NOT registered"))</f>
        <v/>
      </c>
      <c r="E302" s="3"/>
      <c r="F302" s="4"/>
      <c r="G302" s="3"/>
      <c r="H302" s="3" t="str">
        <f ca="1">IFERROR(VLOOKUP(C302,'Calibrated Tools Register'!B:M,12,FALSE)-TODAY(),"")</f>
        <v/>
      </c>
      <c r="I302" s="3" t="str">
        <f t="shared" ca="1" si="9"/>
        <v/>
      </c>
      <c r="J302" s="3"/>
      <c r="K302" s="4"/>
      <c r="L302" s="3"/>
      <c r="M302" s="4"/>
      <c r="N302" s="4"/>
      <c r="O302" s="4"/>
    </row>
    <row r="303" spans="1:15">
      <c r="A303" s="3" t="str">
        <f t="shared" si="8"/>
        <v/>
      </c>
      <c r="B303" s="5"/>
      <c r="C303" s="23"/>
      <c r="D303" s="4" t="str">
        <f>IF(C303="","",IFERROR(VLOOKUP(C303,'Calibrated Tools Register'!B:C,2,FALSE),"NOT registered"))</f>
        <v/>
      </c>
      <c r="E303" s="5"/>
      <c r="F303" s="6"/>
      <c r="G303" s="5"/>
      <c r="H303" s="5" t="str">
        <f ca="1">IFERROR(VLOOKUP(C303,'Calibrated Tools Register'!B:M,12,FALSE)-TODAY(),"")</f>
        <v/>
      </c>
      <c r="I303" s="3" t="str">
        <f t="shared" ca="1" si="9"/>
        <v/>
      </c>
      <c r="J303" s="5"/>
      <c r="K303" s="6"/>
      <c r="L303" s="5"/>
      <c r="M303" s="6"/>
      <c r="N303" s="6"/>
      <c r="O303" s="6"/>
    </row>
    <row r="304" spans="1:15">
      <c r="A304" s="3" t="str">
        <f t="shared" si="8"/>
        <v/>
      </c>
      <c r="B304" s="3"/>
      <c r="C304" s="22"/>
      <c r="D304" s="4" t="str">
        <f>IF(C304="","",IFERROR(VLOOKUP(C304,'Calibrated Tools Register'!B:C,2,FALSE),"NOT registered"))</f>
        <v/>
      </c>
      <c r="E304" s="3"/>
      <c r="F304" s="4"/>
      <c r="G304" s="3"/>
      <c r="H304" s="3" t="str">
        <f ca="1">IFERROR(VLOOKUP(C304,'Calibrated Tools Register'!B:M,12,FALSE)-TODAY(),"")</f>
        <v/>
      </c>
      <c r="I304" s="3" t="str">
        <f t="shared" ca="1" si="9"/>
        <v/>
      </c>
      <c r="J304" s="3"/>
      <c r="K304" s="4"/>
      <c r="L304" s="3"/>
      <c r="M304" s="4"/>
      <c r="N304" s="4"/>
      <c r="O304" s="4"/>
    </row>
    <row r="305" spans="1:15">
      <c r="A305" s="3" t="str">
        <f t="shared" si="8"/>
        <v/>
      </c>
      <c r="B305" s="5"/>
      <c r="C305" s="23"/>
      <c r="D305" s="4" t="str">
        <f>IF(C305="","",IFERROR(VLOOKUP(C305,'Calibrated Tools Register'!B:C,2,FALSE),"NOT registered"))</f>
        <v/>
      </c>
      <c r="E305" s="5"/>
      <c r="F305" s="6"/>
      <c r="G305" s="5"/>
      <c r="H305" s="5" t="str">
        <f ca="1">IFERROR(VLOOKUP(C305,'Calibrated Tools Register'!B:M,12,FALSE)-TODAY(),"")</f>
        <v/>
      </c>
      <c r="I305" s="3" t="str">
        <f t="shared" ca="1" si="9"/>
        <v/>
      </c>
      <c r="J305" s="5"/>
      <c r="K305" s="6"/>
      <c r="L305" s="5"/>
      <c r="M305" s="6"/>
      <c r="N305" s="6"/>
      <c r="O305" s="6"/>
    </row>
    <row r="306" spans="1:15">
      <c r="A306" s="3" t="str">
        <f t="shared" si="8"/>
        <v/>
      </c>
      <c r="B306" s="3"/>
      <c r="C306" s="22"/>
      <c r="D306" s="4" t="str">
        <f>IF(C306="","",IFERROR(VLOOKUP(C306,'Calibrated Tools Register'!B:C,2,FALSE),"NOT registered"))</f>
        <v/>
      </c>
      <c r="E306" s="3"/>
      <c r="F306" s="4"/>
      <c r="G306" s="3"/>
      <c r="H306" s="3" t="str">
        <f ca="1">IFERROR(VLOOKUP(C306,'Calibrated Tools Register'!B:M,12,FALSE)-TODAY(),"")</f>
        <v/>
      </c>
      <c r="I306" s="3" t="str">
        <f t="shared" ca="1" si="9"/>
        <v/>
      </c>
      <c r="J306" s="3"/>
      <c r="K306" s="4"/>
      <c r="L306" s="3"/>
      <c r="M306" s="4"/>
      <c r="N306" s="4"/>
      <c r="O306" s="4"/>
    </row>
    <row r="307" spans="1:15">
      <c r="A307" s="3" t="str">
        <f t="shared" si="8"/>
        <v/>
      </c>
      <c r="B307" s="5"/>
      <c r="C307" s="23"/>
      <c r="D307" s="4" t="str">
        <f>IF(C307="","",IFERROR(VLOOKUP(C307,'Calibrated Tools Register'!B:C,2,FALSE),"NOT registered"))</f>
        <v/>
      </c>
      <c r="E307" s="5"/>
      <c r="F307" s="6"/>
      <c r="G307" s="5"/>
      <c r="H307" s="5" t="str">
        <f ca="1">IFERROR(VLOOKUP(C307,'Calibrated Tools Register'!B:M,12,FALSE)-TODAY(),"")</f>
        <v/>
      </c>
      <c r="I307" s="3" t="str">
        <f t="shared" ca="1" si="9"/>
        <v/>
      </c>
      <c r="J307" s="5"/>
      <c r="K307" s="6"/>
      <c r="L307" s="5"/>
      <c r="M307" s="6"/>
      <c r="N307" s="6"/>
      <c r="O307" s="6"/>
    </row>
    <row r="308" spans="1:15">
      <c r="A308" s="3" t="str">
        <f t="shared" si="8"/>
        <v/>
      </c>
      <c r="B308" s="3"/>
      <c r="C308" s="22"/>
      <c r="D308" s="4" t="str">
        <f>IF(C308="","",IFERROR(VLOOKUP(C308,'Calibrated Tools Register'!B:C,2,FALSE),"NOT registered"))</f>
        <v/>
      </c>
      <c r="E308" s="3"/>
      <c r="F308" s="4"/>
      <c r="G308" s="3"/>
      <c r="H308" s="3" t="str">
        <f ca="1">IFERROR(VLOOKUP(C308,'Calibrated Tools Register'!B:M,12,FALSE)-TODAY(),"")</f>
        <v/>
      </c>
      <c r="I308" s="3" t="str">
        <f t="shared" ca="1" si="9"/>
        <v/>
      </c>
      <c r="J308" s="3"/>
      <c r="K308" s="4"/>
      <c r="L308" s="3"/>
      <c r="M308" s="4"/>
      <c r="N308" s="4"/>
      <c r="O308" s="4"/>
    </row>
    <row r="309" spans="1:15">
      <c r="A309" s="3" t="str">
        <f t="shared" si="8"/>
        <v/>
      </c>
      <c r="B309" s="5"/>
      <c r="C309" s="23"/>
      <c r="D309" s="4" t="str">
        <f>IF(C309="","",IFERROR(VLOOKUP(C309,'Calibrated Tools Register'!B:C,2,FALSE),"NOT registered"))</f>
        <v/>
      </c>
      <c r="E309" s="5"/>
      <c r="F309" s="6"/>
      <c r="G309" s="5"/>
      <c r="H309" s="5" t="str">
        <f ca="1">IFERROR(VLOOKUP(C309,'Calibrated Tools Register'!B:M,12,FALSE)-TODAY(),"")</f>
        <v/>
      </c>
      <c r="I309" s="3" t="str">
        <f t="shared" ca="1" si="9"/>
        <v/>
      </c>
      <c r="J309" s="5"/>
      <c r="K309" s="6"/>
      <c r="L309" s="5"/>
      <c r="M309" s="6"/>
      <c r="N309" s="6"/>
      <c r="O309" s="6"/>
    </row>
    <row r="310" spans="1:15">
      <c r="A310" s="3" t="str">
        <f t="shared" si="8"/>
        <v/>
      </c>
      <c r="B310" s="3"/>
      <c r="C310" s="22"/>
      <c r="D310" s="4" t="str">
        <f>IF(C310="","",IFERROR(VLOOKUP(C310,'Calibrated Tools Register'!B:C,2,FALSE),"NOT registered"))</f>
        <v/>
      </c>
      <c r="E310" s="3"/>
      <c r="F310" s="4"/>
      <c r="G310" s="3"/>
      <c r="H310" s="3" t="str">
        <f ca="1">IFERROR(VLOOKUP(C310,'Calibrated Tools Register'!B:M,12,FALSE)-TODAY(),"")</f>
        <v/>
      </c>
      <c r="I310" s="3" t="str">
        <f t="shared" ca="1" si="9"/>
        <v/>
      </c>
      <c r="J310" s="3"/>
      <c r="K310" s="4"/>
      <c r="L310" s="3"/>
      <c r="M310" s="4"/>
      <c r="N310" s="4"/>
      <c r="O310" s="4"/>
    </row>
    <row r="311" spans="1:15">
      <c r="A311" s="3" t="str">
        <f t="shared" si="8"/>
        <v/>
      </c>
      <c r="B311" s="5"/>
      <c r="C311" s="23"/>
      <c r="D311" s="4" t="str">
        <f>IF(C311="","",IFERROR(VLOOKUP(C311,'Calibrated Tools Register'!B:C,2,FALSE),"NOT registered"))</f>
        <v/>
      </c>
      <c r="E311" s="5"/>
      <c r="F311" s="6"/>
      <c r="G311" s="5"/>
      <c r="H311" s="5" t="str">
        <f ca="1">IFERROR(VLOOKUP(C311,'Calibrated Tools Register'!B:M,12,FALSE)-TODAY(),"")</f>
        <v/>
      </c>
      <c r="I311" s="3" t="str">
        <f t="shared" ca="1" si="9"/>
        <v/>
      </c>
      <c r="J311" s="5"/>
      <c r="K311" s="6"/>
      <c r="L311" s="5"/>
      <c r="M311" s="6"/>
      <c r="N311" s="6"/>
      <c r="O311" s="6"/>
    </row>
    <row r="312" spans="1:15">
      <c r="A312" s="3" t="str">
        <f t="shared" si="8"/>
        <v/>
      </c>
      <c r="B312" s="3"/>
      <c r="C312" s="22"/>
      <c r="D312" s="4" t="str">
        <f>IF(C312="","",IFERROR(VLOOKUP(C312,'Calibrated Tools Register'!B:C,2,FALSE),"NOT registered"))</f>
        <v/>
      </c>
      <c r="E312" s="3"/>
      <c r="F312" s="4"/>
      <c r="G312" s="3"/>
      <c r="H312" s="3" t="str">
        <f ca="1">IFERROR(VLOOKUP(C312,'Calibrated Tools Register'!B:M,12,FALSE)-TODAY(),"")</f>
        <v/>
      </c>
      <c r="I312" s="3" t="str">
        <f t="shared" ca="1" si="9"/>
        <v/>
      </c>
      <c r="J312" s="3"/>
      <c r="K312" s="4"/>
      <c r="L312" s="3"/>
      <c r="M312" s="4"/>
      <c r="N312" s="4"/>
      <c r="O312" s="4"/>
    </row>
    <row r="313" spans="1:15">
      <c r="A313" s="3" t="str">
        <f t="shared" si="8"/>
        <v/>
      </c>
      <c r="B313" s="5"/>
      <c r="C313" s="23"/>
      <c r="D313" s="4" t="str">
        <f>IF(C313="","",IFERROR(VLOOKUP(C313,'Calibrated Tools Register'!B:C,2,FALSE),"NOT registered"))</f>
        <v/>
      </c>
      <c r="E313" s="5"/>
      <c r="F313" s="6"/>
      <c r="G313" s="5"/>
      <c r="H313" s="5" t="str">
        <f ca="1">IFERROR(VLOOKUP(C313,'Calibrated Tools Register'!B:M,12,FALSE)-TODAY(),"")</f>
        <v/>
      </c>
      <c r="I313" s="3" t="str">
        <f t="shared" ca="1" si="9"/>
        <v/>
      </c>
      <c r="J313" s="5"/>
      <c r="K313" s="6"/>
      <c r="L313" s="5"/>
      <c r="M313" s="6"/>
      <c r="N313" s="6"/>
      <c r="O313" s="6"/>
    </row>
    <row r="314" spans="1:15">
      <c r="A314" s="3" t="str">
        <f t="shared" si="8"/>
        <v/>
      </c>
      <c r="B314" s="3"/>
      <c r="C314" s="22"/>
      <c r="D314" s="4" t="str">
        <f>IF(C314="","",IFERROR(VLOOKUP(C314,'Calibrated Tools Register'!B:C,2,FALSE),"NOT registered"))</f>
        <v/>
      </c>
      <c r="E314" s="3"/>
      <c r="F314" s="4"/>
      <c r="G314" s="3"/>
      <c r="H314" s="3" t="str">
        <f ca="1">IFERROR(VLOOKUP(C314,'Calibrated Tools Register'!B:M,12,FALSE)-TODAY(),"")</f>
        <v/>
      </c>
      <c r="I314" s="3" t="str">
        <f t="shared" ca="1" si="9"/>
        <v/>
      </c>
      <c r="J314" s="3"/>
      <c r="K314" s="4"/>
      <c r="L314" s="3"/>
      <c r="M314" s="4"/>
      <c r="N314" s="4"/>
      <c r="O314" s="4"/>
    </row>
    <row r="315" spans="1:15">
      <c r="A315" s="3" t="str">
        <f t="shared" si="8"/>
        <v/>
      </c>
      <c r="B315" s="5"/>
      <c r="C315" s="23"/>
      <c r="D315" s="4" t="str">
        <f>IF(C315="","",IFERROR(VLOOKUP(C315,'Calibrated Tools Register'!B:C,2,FALSE),"NOT registered"))</f>
        <v/>
      </c>
      <c r="E315" s="5"/>
      <c r="F315" s="6"/>
      <c r="G315" s="5"/>
      <c r="H315" s="5" t="str">
        <f ca="1">IFERROR(VLOOKUP(C315,'Calibrated Tools Register'!B:M,12,FALSE)-TODAY(),"")</f>
        <v/>
      </c>
      <c r="I315" s="3" t="str">
        <f t="shared" ca="1" si="9"/>
        <v/>
      </c>
      <c r="J315" s="5"/>
      <c r="K315" s="6"/>
      <c r="L315" s="5"/>
      <c r="M315" s="6"/>
      <c r="N315" s="6"/>
      <c r="O315" s="6"/>
    </row>
    <row r="316" spans="1:15">
      <c r="A316" s="3" t="str">
        <f t="shared" si="8"/>
        <v/>
      </c>
      <c r="B316" s="3"/>
      <c r="C316" s="22"/>
      <c r="D316" s="4" t="str">
        <f>IF(C316="","",IFERROR(VLOOKUP(C316,'Calibrated Tools Register'!B:C,2,FALSE),"NOT registered"))</f>
        <v/>
      </c>
      <c r="E316" s="3"/>
      <c r="F316" s="4"/>
      <c r="G316" s="3"/>
      <c r="H316" s="3" t="str">
        <f ca="1">IFERROR(VLOOKUP(C316,'Calibrated Tools Register'!B:M,12,FALSE)-TODAY(),"")</f>
        <v/>
      </c>
      <c r="I316" s="3" t="str">
        <f t="shared" ca="1" si="9"/>
        <v/>
      </c>
      <c r="J316" s="3"/>
      <c r="K316" s="4"/>
      <c r="L316" s="3"/>
      <c r="M316" s="4"/>
      <c r="N316" s="4"/>
      <c r="O316" s="4"/>
    </row>
    <row r="317" spans="1:15">
      <c r="A317" s="3" t="str">
        <f t="shared" si="8"/>
        <v/>
      </c>
      <c r="B317" s="5"/>
      <c r="C317" s="23"/>
      <c r="D317" s="4" t="str">
        <f>IF(C317="","",IFERROR(VLOOKUP(C317,'Calibrated Tools Register'!B:C,2,FALSE),"NOT registered"))</f>
        <v/>
      </c>
      <c r="E317" s="5"/>
      <c r="F317" s="6"/>
      <c r="G317" s="5"/>
      <c r="H317" s="5" t="str">
        <f ca="1">IFERROR(VLOOKUP(C317,'Calibrated Tools Register'!B:M,12,FALSE)-TODAY(),"")</f>
        <v/>
      </c>
      <c r="I317" s="3" t="str">
        <f t="shared" ca="1" si="9"/>
        <v/>
      </c>
      <c r="J317" s="5"/>
      <c r="K317" s="6"/>
      <c r="L317" s="5"/>
      <c r="M317" s="6"/>
      <c r="N317" s="6"/>
      <c r="O317" s="6"/>
    </row>
    <row r="318" spans="1:15">
      <c r="A318" s="3" t="str">
        <f t="shared" si="8"/>
        <v/>
      </c>
      <c r="B318" s="3"/>
      <c r="C318" s="22"/>
      <c r="D318" s="4" t="str">
        <f>IF(C318="","",IFERROR(VLOOKUP(C318,'Calibrated Tools Register'!B:C,2,FALSE),"NOT registered"))</f>
        <v/>
      </c>
      <c r="E318" s="3"/>
      <c r="F318" s="4"/>
      <c r="G318" s="3"/>
      <c r="H318" s="3" t="str">
        <f ca="1">IFERROR(VLOOKUP(C318,'Calibrated Tools Register'!B:M,12,FALSE)-TODAY(),"")</f>
        <v/>
      </c>
      <c r="I318" s="3" t="str">
        <f t="shared" ca="1" si="9"/>
        <v/>
      </c>
      <c r="J318" s="3"/>
      <c r="K318" s="4"/>
      <c r="L318" s="3"/>
      <c r="M318" s="4"/>
      <c r="N318" s="4"/>
      <c r="O318" s="4"/>
    </row>
    <row r="319" spans="1:15">
      <c r="A319" s="3" t="str">
        <f t="shared" si="8"/>
        <v/>
      </c>
      <c r="B319" s="5"/>
      <c r="C319" s="23"/>
      <c r="D319" s="4" t="str">
        <f>IF(C319="","",IFERROR(VLOOKUP(C319,'Calibrated Tools Register'!B:C,2,FALSE),"NOT registered"))</f>
        <v/>
      </c>
      <c r="E319" s="5"/>
      <c r="F319" s="6"/>
      <c r="G319" s="5"/>
      <c r="H319" s="5" t="str">
        <f ca="1">IFERROR(VLOOKUP(C319,'Calibrated Tools Register'!B:M,12,FALSE)-TODAY(),"")</f>
        <v/>
      </c>
      <c r="I319" s="3" t="str">
        <f t="shared" ca="1" si="9"/>
        <v/>
      </c>
      <c r="J319" s="5"/>
      <c r="K319" s="6"/>
      <c r="L319" s="5"/>
      <c r="M319" s="6"/>
      <c r="N319" s="6"/>
      <c r="O319" s="6"/>
    </row>
    <row r="320" spans="1:15">
      <c r="A320" s="3" t="str">
        <f t="shared" si="8"/>
        <v/>
      </c>
      <c r="B320" s="3"/>
      <c r="C320" s="22"/>
      <c r="D320" s="4" t="str">
        <f>IF(C320="","",IFERROR(VLOOKUP(C320,'Calibrated Tools Register'!B:C,2,FALSE),"NOT registered"))</f>
        <v/>
      </c>
      <c r="E320" s="3"/>
      <c r="F320" s="4"/>
      <c r="G320" s="3"/>
      <c r="H320" s="3" t="str">
        <f ca="1">IFERROR(VLOOKUP(C320,'Calibrated Tools Register'!B:M,12,FALSE)-TODAY(),"")</f>
        <v/>
      </c>
      <c r="I320" s="3" t="str">
        <f t="shared" ca="1" si="9"/>
        <v/>
      </c>
      <c r="J320" s="3"/>
      <c r="K320" s="4"/>
      <c r="L320" s="3"/>
      <c r="M320" s="4"/>
      <c r="N320" s="4"/>
      <c r="O320" s="4"/>
    </row>
    <row r="321" spans="1:15">
      <c r="A321" s="3" t="str">
        <f t="shared" si="8"/>
        <v/>
      </c>
      <c r="B321" s="5"/>
      <c r="C321" s="23"/>
      <c r="D321" s="4" t="str">
        <f>IF(C321="","",IFERROR(VLOOKUP(C321,'Calibrated Tools Register'!B:C,2,FALSE),"NOT registered"))</f>
        <v/>
      </c>
      <c r="E321" s="5"/>
      <c r="F321" s="6"/>
      <c r="G321" s="5"/>
      <c r="H321" s="5" t="str">
        <f ca="1">IFERROR(VLOOKUP(C321,'Calibrated Tools Register'!B:M,12,FALSE)-TODAY(),"")</f>
        <v/>
      </c>
      <c r="I321" s="3" t="str">
        <f t="shared" ca="1" si="9"/>
        <v/>
      </c>
      <c r="J321" s="5"/>
      <c r="K321" s="6"/>
      <c r="L321" s="5"/>
      <c r="M321" s="6"/>
      <c r="N321" s="6"/>
      <c r="O321" s="6"/>
    </row>
    <row r="322" spans="1:15">
      <c r="A322" s="3" t="str">
        <f t="shared" si="8"/>
        <v/>
      </c>
      <c r="B322" s="3"/>
      <c r="C322" s="22"/>
      <c r="D322" s="4" t="str">
        <f>IF(C322="","",IFERROR(VLOOKUP(C322,'Calibrated Tools Register'!B:C,2,FALSE),"NOT registered"))</f>
        <v/>
      </c>
      <c r="E322" s="3"/>
      <c r="F322" s="4"/>
      <c r="G322" s="3"/>
      <c r="H322" s="3" t="str">
        <f ca="1">IFERROR(VLOOKUP(C322,'Calibrated Tools Register'!B:M,12,FALSE)-TODAY(),"")</f>
        <v/>
      </c>
      <c r="I322" s="3" t="str">
        <f t="shared" ca="1" si="9"/>
        <v/>
      </c>
      <c r="J322" s="3"/>
      <c r="K322" s="4"/>
      <c r="L322" s="3"/>
      <c r="M322" s="4"/>
      <c r="N322" s="4"/>
      <c r="O322" s="4"/>
    </row>
    <row r="323" spans="1:15">
      <c r="A323" s="3" t="str">
        <f t="shared" si="8"/>
        <v/>
      </c>
      <c r="B323" s="5"/>
      <c r="C323" s="23"/>
      <c r="D323" s="4" t="str">
        <f>IF(C323="","",IFERROR(VLOOKUP(C323,'Calibrated Tools Register'!B:C,2,FALSE),"NOT registered"))</f>
        <v/>
      </c>
      <c r="E323" s="5"/>
      <c r="F323" s="6"/>
      <c r="G323" s="5"/>
      <c r="H323" s="5" t="str">
        <f ca="1">IFERROR(VLOOKUP(C323,'Calibrated Tools Register'!B:M,12,FALSE)-TODAY(),"")</f>
        <v/>
      </c>
      <c r="I323" s="3" t="str">
        <f t="shared" ca="1" si="9"/>
        <v/>
      </c>
      <c r="J323" s="5"/>
      <c r="K323" s="6"/>
      <c r="L323" s="5"/>
      <c r="M323" s="6"/>
      <c r="N323" s="6"/>
      <c r="O323" s="6"/>
    </row>
    <row r="324" spans="1:15">
      <c r="A324" s="3" t="str">
        <f t="shared" ref="A324:A387" si="10">IF(C324="","",ROW(C324)-3)</f>
        <v/>
      </c>
      <c r="B324" s="3"/>
      <c r="C324" s="22"/>
      <c r="D324" s="4" t="str">
        <f>IF(C324="","",IFERROR(VLOOKUP(C324,'Calibrated Tools Register'!B:C,2,FALSE),"NOT registered"))</f>
        <v/>
      </c>
      <c r="E324" s="3"/>
      <c r="F324" s="4"/>
      <c r="G324" s="3"/>
      <c r="H324" s="3" t="str">
        <f ca="1">IFERROR(VLOOKUP(C324,'Calibrated Tools Register'!B:M,12,FALSE)-TODAY(),"")</f>
        <v/>
      </c>
      <c r="I324" s="3" t="str">
        <f t="shared" ca="1" si="9"/>
        <v/>
      </c>
      <c r="J324" s="3"/>
      <c r="K324" s="4"/>
      <c r="L324" s="3"/>
      <c r="M324" s="4"/>
      <c r="N324" s="4"/>
      <c r="O324" s="4"/>
    </row>
    <row r="325" spans="1:15">
      <c r="A325" s="3" t="str">
        <f t="shared" si="10"/>
        <v/>
      </c>
      <c r="B325" s="5"/>
      <c r="C325" s="23"/>
      <c r="D325" s="4" t="str">
        <f>IF(C325="","",IFERROR(VLOOKUP(C325,'Calibrated Tools Register'!B:C,2,FALSE),"NOT registered"))</f>
        <v/>
      </c>
      <c r="E325" s="5"/>
      <c r="F325" s="6"/>
      <c r="G325" s="5"/>
      <c r="H325" s="5" t="str">
        <f ca="1">IFERROR(VLOOKUP(C325,'Calibrated Tools Register'!B:M,12,FALSE)-TODAY(),"")</f>
        <v/>
      </c>
      <c r="I325" s="3" t="str">
        <f t="shared" ref="I325:I388" ca="1" si="11">IF(H325="","",IF(H325&lt;=0,"Urgent",IF(H325&lt;=30,"High",IF(H325&lt;=45,"Medium","Low"))))</f>
        <v/>
      </c>
      <c r="J325" s="5"/>
      <c r="K325" s="6"/>
      <c r="L325" s="5"/>
      <c r="M325" s="6"/>
      <c r="N325" s="6"/>
      <c r="O325" s="6"/>
    </row>
    <row r="326" spans="1:15">
      <c r="A326" s="3" t="str">
        <f t="shared" si="10"/>
        <v/>
      </c>
      <c r="B326" s="3"/>
      <c r="C326" s="22"/>
      <c r="D326" s="4" t="str">
        <f>IF(C326="","",IFERROR(VLOOKUP(C326,'Calibrated Tools Register'!B:C,2,FALSE),"NOT registered"))</f>
        <v/>
      </c>
      <c r="E326" s="3"/>
      <c r="F326" s="4"/>
      <c r="G326" s="3"/>
      <c r="H326" s="3" t="str">
        <f ca="1">IFERROR(VLOOKUP(C326,'Calibrated Tools Register'!B:M,12,FALSE)-TODAY(),"")</f>
        <v/>
      </c>
      <c r="I326" s="3" t="str">
        <f t="shared" ca="1" si="11"/>
        <v/>
      </c>
      <c r="J326" s="3"/>
      <c r="K326" s="4"/>
      <c r="L326" s="3"/>
      <c r="M326" s="4"/>
      <c r="N326" s="4"/>
      <c r="O326" s="4"/>
    </row>
    <row r="327" spans="1:15">
      <c r="A327" s="3" t="str">
        <f t="shared" si="10"/>
        <v/>
      </c>
      <c r="B327" s="5"/>
      <c r="C327" s="23"/>
      <c r="D327" s="4" t="str">
        <f>IF(C327="","",IFERROR(VLOOKUP(C327,'Calibrated Tools Register'!B:C,2,FALSE),"NOT registered"))</f>
        <v/>
      </c>
      <c r="E327" s="5"/>
      <c r="F327" s="6"/>
      <c r="G327" s="5"/>
      <c r="H327" s="5" t="str">
        <f ca="1">IFERROR(VLOOKUP(C327,'Calibrated Tools Register'!B:M,12,FALSE)-TODAY(),"")</f>
        <v/>
      </c>
      <c r="I327" s="3" t="str">
        <f t="shared" ca="1" si="11"/>
        <v/>
      </c>
      <c r="J327" s="5"/>
      <c r="K327" s="6"/>
      <c r="L327" s="5"/>
      <c r="M327" s="6"/>
      <c r="N327" s="6"/>
      <c r="O327" s="6"/>
    </row>
    <row r="328" spans="1:15">
      <c r="A328" s="3" t="str">
        <f t="shared" si="10"/>
        <v/>
      </c>
      <c r="B328" s="3"/>
      <c r="C328" s="22"/>
      <c r="D328" s="4" t="str">
        <f>IF(C328="","",IFERROR(VLOOKUP(C328,'Calibrated Tools Register'!B:C,2,FALSE),"NOT registered"))</f>
        <v/>
      </c>
      <c r="E328" s="3"/>
      <c r="F328" s="4"/>
      <c r="G328" s="3"/>
      <c r="H328" s="3" t="str">
        <f ca="1">IFERROR(VLOOKUP(C328,'Calibrated Tools Register'!B:M,12,FALSE)-TODAY(),"")</f>
        <v/>
      </c>
      <c r="I328" s="3" t="str">
        <f t="shared" ca="1" si="11"/>
        <v/>
      </c>
      <c r="J328" s="3"/>
      <c r="K328" s="4"/>
      <c r="L328" s="3"/>
      <c r="M328" s="4"/>
      <c r="N328" s="4"/>
      <c r="O328" s="4"/>
    </row>
    <row r="329" spans="1:15">
      <c r="A329" s="3" t="str">
        <f t="shared" si="10"/>
        <v/>
      </c>
      <c r="B329" s="5"/>
      <c r="C329" s="23"/>
      <c r="D329" s="4" t="str">
        <f>IF(C329="","",IFERROR(VLOOKUP(C329,'Calibrated Tools Register'!B:C,2,FALSE),"NOT registered"))</f>
        <v/>
      </c>
      <c r="E329" s="5"/>
      <c r="F329" s="6"/>
      <c r="G329" s="5"/>
      <c r="H329" s="5" t="str">
        <f ca="1">IFERROR(VLOOKUP(C329,'Calibrated Tools Register'!B:M,12,FALSE)-TODAY(),"")</f>
        <v/>
      </c>
      <c r="I329" s="3" t="str">
        <f t="shared" ca="1" si="11"/>
        <v/>
      </c>
      <c r="J329" s="5"/>
      <c r="K329" s="6"/>
      <c r="L329" s="5"/>
      <c r="M329" s="6"/>
      <c r="N329" s="6"/>
      <c r="O329" s="6"/>
    </row>
    <row r="330" spans="1:15">
      <c r="A330" s="3" t="str">
        <f t="shared" si="10"/>
        <v/>
      </c>
      <c r="B330" s="3"/>
      <c r="C330" s="22"/>
      <c r="D330" s="4" t="str">
        <f>IF(C330="","",IFERROR(VLOOKUP(C330,'Calibrated Tools Register'!B:C,2,FALSE),"NOT registered"))</f>
        <v/>
      </c>
      <c r="E330" s="3"/>
      <c r="F330" s="4"/>
      <c r="G330" s="3"/>
      <c r="H330" s="3" t="str">
        <f ca="1">IFERROR(VLOOKUP(C330,'Calibrated Tools Register'!B:M,12,FALSE)-TODAY(),"")</f>
        <v/>
      </c>
      <c r="I330" s="3" t="str">
        <f t="shared" ca="1" si="11"/>
        <v/>
      </c>
      <c r="J330" s="3"/>
      <c r="K330" s="4"/>
      <c r="L330" s="3"/>
      <c r="M330" s="4"/>
      <c r="N330" s="4"/>
      <c r="O330" s="4"/>
    </row>
    <row r="331" spans="1:15">
      <c r="A331" s="3" t="str">
        <f t="shared" si="10"/>
        <v/>
      </c>
      <c r="B331" s="5"/>
      <c r="C331" s="23"/>
      <c r="D331" s="4" t="str">
        <f>IF(C331="","",IFERROR(VLOOKUP(C331,'Calibrated Tools Register'!B:C,2,FALSE),"NOT registered"))</f>
        <v/>
      </c>
      <c r="E331" s="5"/>
      <c r="F331" s="6"/>
      <c r="G331" s="5"/>
      <c r="H331" s="5" t="str">
        <f ca="1">IFERROR(VLOOKUP(C331,'Calibrated Tools Register'!B:M,12,FALSE)-TODAY(),"")</f>
        <v/>
      </c>
      <c r="I331" s="3" t="str">
        <f t="shared" ca="1" si="11"/>
        <v/>
      </c>
      <c r="J331" s="5"/>
      <c r="K331" s="6"/>
      <c r="L331" s="5"/>
      <c r="M331" s="6"/>
      <c r="N331" s="6"/>
      <c r="O331" s="6"/>
    </row>
    <row r="332" spans="1:15">
      <c r="A332" s="3" t="str">
        <f t="shared" si="10"/>
        <v/>
      </c>
      <c r="B332" s="3"/>
      <c r="C332" s="22"/>
      <c r="D332" s="4" t="str">
        <f>IF(C332="","",IFERROR(VLOOKUP(C332,'Calibrated Tools Register'!B:C,2,FALSE),"NOT registered"))</f>
        <v/>
      </c>
      <c r="E332" s="3"/>
      <c r="F332" s="4"/>
      <c r="G332" s="3"/>
      <c r="H332" s="3" t="str">
        <f ca="1">IFERROR(VLOOKUP(C332,'Calibrated Tools Register'!B:M,12,FALSE)-TODAY(),"")</f>
        <v/>
      </c>
      <c r="I332" s="3" t="str">
        <f t="shared" ca="1" si="11"/>
        <v/>
      </c>
      <c r="J332" s="3"/>
      <c r="K332" s="4"/>
      <c r="L332" s="3"/>
      <c r="M332" s="4"/>
      <c r="N332" s="4"/>
      <c r="O332" s="4"/>
    </row>
    <row r="333" spans="1:15">
      <c r="A333" s="3" t="str">
        <f t="shared" si="10"/>
        <v/>
      </c>
      <c r="B333" s="5"/>
      <c r="C333" s="23"/>
      <c r="D333" s="4" t="str">
        <f>IF(C333="","",IFERROR(VLOOKUP(C333,'Calibrated Tools Register'!B:C,2,FALSE),"NOT registered"))</f>
        <v/>
      </c>
      <c r="E333" s="5"/>
      <c r="F333" s="6"/>
      <c r="G333" s="5"/>
      <c r="H333" s="5" t="str">
        <f ca="1">IFERROR(VLOOKUP(C333,'Calibrated Tools Register'!B:M,12,FALSE)-TODAY(),"")</f>
        <v/>
      </c>
      <c r="I333" s="3" t="str">
        <f t="shared" ca="1" si="11"/>
        <v/>
      </c>
      <c r="J333" s="5"/>
      <c r="K333" s="6"/>
      <c r="L333" s="5"/>
      <c r="M333" s="6"/>
      <c r="N333" s="6"/>
      <c r="O333" s="6"/>
    </row>
    <row r="334" spans="1:15">
      <c r="A334" s="3" t="str">
        <f t="shared" si="10"/>
        <v/>
      </c>
      <c r="B334" s="3"/>
      <c r="C334" s="22"/>
      <c r="D334" s="4" t="str">
        <f>IF(C334="","",IFERROR(VLOOKUP(C334,'Calibrated Tools Register'!B:C,2,FALSE),"NOT registered"))</f>
        <v/>
      </c>
      <c r="E334" s="3"/>
      <c r="F334" s="4"/>
      <c r="G334" s="3"/>
      <c r="H334" s="3" t="str">
        <f ca="1">IFERROR(VLOOKUP(C334,'Calibrated Tools Register'!B:M,12,FALSE)-TODAY(),"")</f>
        <v/>
      </c>
      <c r="I334" s="3" t="str">
        <f t="shared" ca="1" si="11"/>
        <v/>
      </c>
      <c r="J334" s="3"/>
      <c r="K334" s="4"/>
      <c r="L334" s="3"/>
      <c r="M334" s="4"/>
      <c r="N334" s="4"/>
      <c r="O334" s="4"/>
    </row>
    <row r="335" spans="1:15">
      <c r="A335" s="3" t="str">
        <f t="shared" si="10"/>
        <v/>
      </c>
      <c r="B335" s="5"/>
      <c r="C335" s="23"/>
      <c r="D335" s="4" t="str">
        <f>IF(C335="","",IFERROR(VLOOKUP(C335,'Calibrated Tools Register'!B:C,2,FALSE),"NOT registered"))</f>
        <v/>
      </c>
      <c r="E335" s="5"/>
      <c r="F335" s="6"/>
      <c r="G335" s="5"/>
      <c r="H335" s="5" t="str">
        <f ca="1">IFERROR(VLOOKUP(C335,'Calibrated Tools Register'!B:M,12,FALSE)-TODAY(),"")</f>
        <v/>
      </c>
      <c r="I335" s="3" t="str">
        <f t="shared" ca="1" si="11"/>
        <v/>
      </c>
      <c r="J335" s="5"/>
      <c r="K335" s="6"/>
      <c r="L335" s="5"/>
      <c r="M335" s="6"/>
      <c r="N335" s="6"/>
      <c r="O335" s="6"/>
    </row>
    <row r="336" spans="1:15">
      <c r="A336" s="3" t="str">
        <f t="shared" si="10"/>
        <v/>
      </c>
      <c r="B336" s="3"/>
      <c r="C336" s="22"/>
      <c r="D336" s="4" t="str">
        <f>IF(C336="","",IFERROR(VLOOKUP(C336,'Calibrated Tools Register'!B:C,2,FALSE),"NOT registered"))</f>
        <v/>
      </c>
      <c r="E336" s="3"/>
      <c r="F336" s="4"/>
      <c r="G336" s="3"/>
      <c r="H336" s="3" t="str">
        <f ca="1">IFERROR(VLOOKUP(C336,'Calibrated Tools Register'!B:M,12,FALSE)-TODAY(),"")</f>
        <v/>
      </c>
      <c r="I336" s="3" t="str">
        <f t="shared" ca="1" si="11"/>
        <v/>
      </c>
      <c r="J336" s="3"/>
      <c r="K336" s="4"/>
      <c r="L336" s="3"/>
      <c r="M336" s="4"/>
      <c r="N336" s="4"/>
      <c r="O336" s="4"/>
    </row>
    <row r="337" spans="1:15">
      <c r="A337" s="3" t="str">
        <f t="shared" si="10"/>
        <v/>
      </c>
      <c r="B337" s="5"/>
      <c r="C337" s="23"/>
      <c r="D337" s="4" t="str">
        <f>IF(C337="","",IFERROR(VLOOKUP(C337,'Calibrated Tools Register'!B:C,2,FALSE),"NOT registered"))</f>
        <v/>
      </c>
      <c r="E337" s="5"/>
      <c r="F337" s="6"/>
      <c r="G337" s="5"/>
      <c r="H337" s="5" t="str">
        <f ca="1">IFERROR(VLOOKUP(C337,'Calibrated Tools Register'!B:M,12,FALSE)-TODAY(),"")</f>
        <v/>
      </c>
      <c r="I337" s="3" t="str">
        <f t="shared" ca="1" si="11"/>
        <v/>
      </c>
      <c r="J337" s="5"/>
      <c r="K337" s="6"/>
      <c r="L337" s="5"/>
      <c r="M337" s="6"/>
      <c r="N337" s="6"/>
      <c r="O337" s="6"/>
    </row>
    <row r="338" spans="1:15">
      <c r="A338" s="3" t="str">
        <f t="shared" si="10"/>
        <v/>
      </c>
      <c r="B338" s="3"/>
      <c r="C338" s="22"/>
      <c r="D338" s="4" t="str">
        <f>IF(C338="","",IFERROR(VLOOKUP(C338,'Calibrated Tools Register'!B:C,2,FALSE),"NOT registered"))</f>
        <v/>
      </c>
      <c r="E338" s="3"/>
      <c r="F338" s="4"/>
      <c r="G338" s="3"/>
      <c r="H338" s="3" t="str">
        <f ca="1">IFERROR(VLOOKUP(C338,'Calibrated Tools Register'!B:M,12,FALSE)-TODAY(),"")</f>
        <v/>
      </c>
      <c r="I338" s="3" t="str">
        <f t="shared" ca="1" si="11"/>
        <v/>
      </c>
      <c r="J338" s="3"/>
      <c r="K338" s="4"/>
      <c r="L338" s="3"/>
      <c r="M338" s="4"/>
      <c r="N338" s="4"/>
      <c r="O338" s="4"/>
    </row>
    <row r="339" spans="1:15">
      <c r="A339" s="3" t="str">
        <f t="shared" si="10"/>
        <v/>
      </c>
      <c r="B339" s="5"/>
      <c r="C339" s="23"/>
      <c r="D339" s="4" t="str">
        <f>IF(C339="","",IFERROR(VLOOKUP(C339,'Calibrated Tools Register'!B:C,2,FALSE),"NOT registered"))</f>
        <v/>
      </c>
      <c r="E339" s="5"/>
      <c r="F339" s="6"/>
      <c r="G339" s="5"/>
      <c r="H339" s="5" t="str">
        <f ca="1">IFERROR(VLOOKUP(C339,'Calibrated Tools Register'!B:M,12,FALSE)-TODAY(),"")</f>
        <v/>
      </c>
      <c r="I339" s="3" t="str">
        <f t="shared" ca="1" si="11"/>
        <v/>
      </c>
      <c r="J339" s="5"/>
      <c r="K339" s="6"/>
      <c r="L339" s="5"/>
      <c r="M339" s="6"/>
      <c r="N339" s="6"/>
      <c r="O339" s="6"/>
    </row>
    <row r="340" spans="1:15">
      <c r="A340" s="3" t="str">
        <f t="shared" si="10"/>
        <v/>
      </c>
      <c r="B340" s="3"/>
      <c r="C340" s="22"/>
      <c r="D340" s="4" t="str">
        <f>IF(C340="","",IFERROR(VLOOKUP(C340,'Calibrated Tools Register'!B:C,2,FALSE),"NOT registered"))</f>
        <v/>
      </c>
      <c r="E340" s="3"/>
      <c r="F340" s="4"/>
      <c r="G340" s="3"/>
      <c r="H340" s="3" t="str">
        <f ca="1">IFERROR(VLOOKUP(C340,'Calibrated Tools Register'!B:M,12,FALSE)-TODAY(),"")</f>
        <v/>
      </c>
      <c r="I340" s="3" t="str">
        <f t="shared" ca="1" si="11"/>
        <v/>
      </c>
      <c r="J340" s="3"/>
      <c r="K340" s="4"/>
      <c r="L340" s="3"/>
      <c r="M340" s="4"/>
      <c r="N340" s="4"/>
      <c r="O340" s="4"/>
    </row>
    <row r="341" spans="1:15">
      <c r="A341" s="3" t="str">
        <f t="shared" si="10"/>
        <v/>
      </c>
      <c r="B341" s="5"/>
      <c r="C341" s="23"/>
      <c r="D341" s="4" t="str">
        <f>IF(C341="","",IFERROR(VLOOKUP(C341,'Calibrated Tools Register'!B:C,2,FALSE),"NOT registered"))</f>
        <v/>
      </c>
      <c r="E341" s="5"/>
      <c r="F341" s="6"/>
      <c r="G341" s="5"/>
      <c r="H341" s="5" t="str">
        <f ca="1">IFERROR(VLOOKUP(C341,'Calibrated Tools Register'!B:M,12,FALSE)-TODAY(),"")</f>
        <v/>
      </c>
      <c r="I341" s="3" t="str">
        <f t="shared" ca="1" si="11"/>
        <v/>
      </c>
      <c r="J341" s="5"/>
      <c r="K341" s="6"/>
      <c r="L341" s="5"/>
      <c r="M341" s="6"/>
      <c r="N341" s="6"/>
      <c r="O341" s="6"/>
    </row>
    <row r="342" spans="1:15">
      <c r="A342" s="3" t="str">
        <f t="shared" si="10"/>
        <v/>
      </c>
      <c r="B342" s="3"/>
      <c r="C342" s="22"/>
      <c r="D342" s="4" t="str">
        <f>IF(C342="","",IFERROR(VLOOKUP(C342,'Calibrated Tools Register'!B:C,2,FALSE),"NOT registered"))</f>
        <v/>
      </c>
      <c r="E342" s="3"/>
      <c r="F342" s="4"/>
      <c r="G342" s="3"/>
      <c r="H342" s="3" t="str">
        <f ca="1">IFERROR(VLOOKUP(C342,'Calibrated Tools Register'!B:M,12,FALSE)-TODAY(),"")</f>
        <v/>
      </c>
      <c r="I342" s="3" t="str">
        <f t="shared" ca="1" si="11"/>
        <v/>
      </c>
      <c r="J342" s="3"/>
      <c r="K342" s="4"/>
      <c r="L342" s="3"/>
      <c r="M342" s="4"/>
      <c r="N342" s="4"/>
      <c r="O342" s="4"/>
    </row>
    <row r="343" spans="1:15">
      <c r="A343" s="3" t="str">
        <f t="shared" si="10"/>
        <v/>
      </c>
      <c r="B343" s="5"/>
      <c r="C343" s="23"/>
      <c r="D343" s="4" t="str">
        <f>IF(C343="","",IFERROR(VLOOKUP(C343,'Calibrated Tools Register'!B:C,2,FALSE),"NOT registered"))</f>
        <v/>
      </c>
      <c r="E343" s="5"/>
      <c r="F343" s="6"/>
      <c r="G343" s="5"/>
      <c r="H343" s="5" t="str">
        <f ca="1">IFERROR(VLOOKUP(C343,'Calibrated Tools Register'!B:M,12,FALSE)-TODAY(),"")</f>
        <v/>
      </c>
      <c r="I343" s="3" t="str">
        <f t="shared" ca="1" si="11"/>
        <v/>
      </c>
      <c r="J343" s="5"/>
      <c r="K343" s="6"/>
      <c r="L343" s="5"/>
      <c r="M343" s="6"/>
      <c r="N343" s="6"/>
      <c r="O343" s="6"/>
    </row>
    <row r="344" spans="1:15">
      <c r="A344" s="3" t="str">
        <f t="shared" si="10"/>
        <v/>
      </c>
      <c r="B344" s="3"/>
      <c r="C344" s="22"/>
      <c r="D344" s="4" t="str">
        <f>IF(C344="","",IFERROR(VLOOKUP(C344,'Calibrated Tools Register'!B:C,2,FALSE),"NOT registered"))</f>
        <v/>
      </c>
      <c r="E344" s="3"/>
      <c r="F344" s="4"/>
      <c r="G344" s="3"/>
      <c r="H344" s="3" t="str">
        <f ca="1">IFERROR(VLOOKUP(C344,'Calibrated Tools Register'!B:M,12,FALSE)-TODAY(),"")</f>
        <v/>
      </c>
      <c r="I344" s="3" t="str">
        <f t="shared" ca="1" si="11"/>
        <v/>
      </c>
      <c r="J344" s="3"/>
      <c r="K344" s="4"/>
      <c r="L344" s="3"/>
      <c r="M344" s="4"/>
      <c r="N344" s="4"/>
      <c r="O344" s="4"/>
    </row>
    <row r="345" spans="1:15">
      <c r="A345" s="3" t="str">
        <f t="shared" si="10"/>
        <v/>
      </c>
      <c r="B345" s="5"/>
      <c r="C345" s="23"/>
      <c r="D345" s="4" t="str">
        <f>IF(C345="","",IFERROR(VLOOKUP(C345,'Calibrated Tools Register'!B:C,2,FALSE),"NOT registered"))</f>
        <v/>
      </c>
      <c r="E345" s="5"/>
      <c r="F345" s="6"/>
      <c r="G345" s="5"/>
      <c r="H345" s="5" t="str">
        <f ca="1">IFERROR(VLOOKUP(C345,'Calibrated Tools Register'!B:M,12,FALSE)-TODAY(),"")</f>
        <v/>
      </c>
      <c r="I345" s="3" t="str">
        <f t="shared" ca="1" si="11"/>
        <v/>
      </c>
      <c r="J345" s="5"/>
      <c r="K345" s="6"/>
      <c r="L345" s="5"/>
      <c r="M345" s="6"/>
      <c r="N345" s="6"/>
      <c r="O345" s="6"/>
    </row>
    <row r="346" spans="1:15">
      <c r="A346" s="3" t="str">
        <f t="shared" si="10"/>
        <v/>
      </c>
      <c r="B346" s="3"/>
      <c r="C346" s="22"/>
      <c r="D346" s="4" t="str">
        <f>IF(C346="","",IFERROR(VLOOKUP(C346,'Calibrated Tools Register'!B:C,2,FALSE),"NOT registered"))</f>
        <v/>
      </c>
      <c r="E346" s="3"/>
      <c r="F346" s="4"/>
      <c r="G346" s="3"/>
      <c r="H346" s="3" t="str">
        <f ca="1">IFERROR(VLOOKUP(C346,'Calibrated Tools Register'!B:M,12,FALSE)-TODAY(),"")</f>
        <v/>
      </c>
      <c r="I346" s="3" t="str">
        <f t="shared" ca="1" si="11"/>
        <v/>
      </c>
      <c r="J346" s="3"/>
      <c r="K346" s="4"/>
      <c r="L346" s="3"/>
      <c r="M346" s="4"/>
      <c r="N346" s="4"/>
      <c r="O346" s="4"/>
    </row>
    <row r="347" spans="1:15">
      <c r="A347" s="3" t="str">
        <f t="shared" si="10"/>
        <v/>
      </c>
      <c r="B347" s="5"/>
      <c r="C347" s="23"/>
      <c r="D347" s="4" t="str">
        <f>IF(C347="","",IFERROR(VLOOKUP(C347,'Calibrated Tools Register'!B:C,2,FALSE),"NOT registered"))</f>
        <v/>
      </c>
      <c r="E347" s="5"/>
      <c r="F347" s="6"/>
      <c r="G347" s="5"/>
      <c r="H347" s="5" t="str">
        <f ca="1">IFERROR(VLOOKUP(C347,'Calibrated Tools Register'!B:M,12,FALSE)-TODAY(),"")</f>
        <v/>
      </c>
      <c r="I347" s="3" t="str">
        <f t="shared" ca="1" si="11"/>
        <v/>
      </c>
      <c r="J347" s="5"/>
      <c r="K347" s="6"/>
      <c r="L347" s="5"/>
      <c r="M347" s="6"/>
      <c r="N347" s="6"/>
      <c r="O347" s="6"/>
    </row>
    <row r="348" spans="1:15">
      <c r="A348" s="3" t="str">
        <f t="shared" si="10"/>
        <v/>
      </c>
      <c r="B348" s="3"/>
      <c r="C348" s="22"/>
      <c r="D348" s="4" t="str">
        <f>IF(C348="","",IFERROR(VLOOKUP(C348,'Calibrated Tools Register'!B:C,2,FALSE),"NOT registered"))</f>
        <v/>
      </c>
      <c r="E348" s="3"/>
      <c r="F348" s="4"/>
      <c r="G348" s="3"/>
      <c r="H348" s="3" t="str">
        <f ca="1">IFERROR(VLOOKUP(C348,'Calibrated Tools Register'!B:M,12,FALSE)-TODAY(),"")</f>
        <v/>
      </c>
      <c r="I348" s="3" t="str">
        <f t="shared" ca="1" si="11"/>
        <v/>
      </c>
      <c r="J348" s="3"/>
      <c r="K348" s="4"/>
      <c r="L348" s="3"/>
      <c r="M348" s="4"/>
      <c r="N348" s="4"/>
      <c r="O348" s="4"/>
    </row>
    <row r="349" spans="1:15">
      <c r="A349" s="3" t="str">
        <f t="shared" si="10"/>
        <v/>
      </c>
      <c r="B349" s="5"/>
      <c r="C349" s="23"/>
      <c r="D349" s="4" t="str">
        <f>IF(C349="","",IFERROR(VLOOKUP(C349,'Calibrated Tools Register'!B:C,2,FALSE),"NOT registered"))</f>
        <v/>
      </c>
      <c r="E349" s="5"/>
      <c r="F349" s="6"/>
      <c r="G349" s="5"/>
      <c r="H349" s="5" t="str">
        <f ca="1">IFERROR(VLOOKUP(C349,'Calibrated Tools Register'!B:M,12,FALSE)-TODAY(),"")</f>
        <v/>
      </c>
      <c r="I349" s="3" t="str">
        <f t="shared" ca="1" si="11"/>
        <v/>
      </c>
      <c r="J349" s="5"/>
      <c r="K349" s="6"/>
      <c r="L349" s="5"/>
      <c r="M349" s="6"/>
      <c r="N349" s="6"/>
      <c r="O349" s="6"/>
    </row>
    <row r="350" spans="1:15">
      <c r="A350" s="3" t="str">
        <f t="shared" si="10"/>
        <v/>
      </c>
      <c r="B350" s="3"/>
      <c r="C350" s="22"/>
      <c r="D350" s="4" t="str">
        <f>IF(C350="","",IFERROR(VLOOKUP(C350,'Calibrated Tools Register'!B:C,2,FALSE),"NOT registered"))</f>
        <v/>
      </c>
      <c r="E350" s="3"/>
      <c r="F350" s="4"/>
      <c r="G350" s="3"/>
      <c r="H350" s="3" t="str">
        <f ca="1">IFERROR(VLOOKUP(C350,'Calibrated Tools Register'!B:M,12,FALSE)-TODAY(),"")</f>
        <v/>
      </c>
      <c r="I350" s="3" t="str">
        <f t="shared" ca="1" si="11"/>
        <v/>
      </c>
      <c r="J350" s="3"/>
      <c r="K350" s="4"/>
      <c r="L350" s="3"/>
      <c r="M350" s="4"/>
      <c r="N350" s="4"/>
      <c r="O350" s="4"/>
    </row>
    <row r="351" spans="1:15">
      <c r="A351" s="3" t="str">
        <f t="shared" si="10"/>
        <v/>
      </c>
      <c r="B351" s="5"/>
      <c r="C351" s="23"/>
      <c r="D351" s="4" t="str">
        <f>IF(C351="","",IFERROR(VLOOKUP(C351,'Calibrated Tools Register'!B:C,2,FALSE),"NOT registered"))</f>
        <v/>
      </c>
      <c r="E351" s="5"/>
      <c r="F351" s="6"/>
      <c r="G351" s="5"/>
      <c r="H351" s="5" t="str">
        <f ca="1">IFERROR(VLOOKUP(C351,'Calibrated Tools Register'!B:M,12,FALSE)-TODAY(),"")</f>
        <v/>
      </c>
      <c r="I351" s="3" t="str">
        <f t="shared" ca="1" si="11"/>
        <v/>
      </c>
      <c r="J351" s="5"/>
      <c r="K351" s="6"/>
      <c r="L351" s="5"/>
      <c r="M351" s="6"/>
      <c r="N351" s="6"/>
      <c r="O351" s="6"/>
    </row>
    <row r="352" spans="1:15">
      <c r="A352" s="3" t="str">
        <f t="shared" si="10"/>
        <v/>
      </c>
      <c r="B352" s="3"/>
      <c r="C352" s="22"/>
      <c r="D352" s="4" t="str">
        <f>IF(C352="","",IFERROR(VLOOKUP(C352,'Calibrated Tools Register'!B:C,2,FALSE),"NOT registered"))</f>
        <v/>
      </c>
      <c r="E352" s="3"/>
      <c r="F352" s="4"/>
      <c r="G352" s="3"/>
      <c r="H352" s="3" t="str">
        <f ca="1">IFERROR(VLOOKUP(C352,'Calibrated Tools Register'!B:M,12,FALSE)-TODAY(),"")</f>
        <v/>
      </c>
      <c r="I352" s="3" t="str">
        <f t="shared" ca="1" si="11"/>
        <v/>
      </c>
      <c r="J352" s="3"/>
      <c r="K352" s="4"/>
      <c r="L352" s="3"/>
      <c r="M352" s="4"/>
      <c r="N352" s="4"/>
      <c r="O352" s="4"/>
    </row>
    <row r="353" spans="1:15">
      <c r="A353" s="3" t="str">
        <f t="shared" si="10"/>
        <v/>
      </c>
      <c r="B353" s="5"/>
      <c r="C353" s="23"/>
      <c r="D353" s="4" t="str">
        <f>IF(C353="","",IFERROR(VLOOKUP(C353,'Calibrated Tools Register'!B:C,2,FALSE),"NOT registered"))</f>
        <v/>
      </c>
      <c r="E353" s="5"/>
      <c r="F353" s="6"/>
      <c r="G353" s="5"/>
      <c r="H353" s="5" t="str">
        <f ca="1">IFERROR(VLOOKUP(C353,'Calibrated Tools Register'!B:M,12,FALSE)-TODAY(),"")</f>
        <v/>
      </c>
      <c r="I353" s="3" t="str">
        <f t="shared" ca="1" si="11"/>
        <v/>
      </c>
      <c r="J353" s="5"/>
      <c r="K353" s="6"/>
      <c r="L353" s="5"/>
      <c r="M353" s="6"/>
      <c r="N353" s="6"/>
      <c r="O353" s="6"/>
    </row>
    <row r="354" spans="1:15">
      <c r="A354" s="3" t="str">
        <f t="shared" si="10"/>
        <v/>
      </c>
      <c r="B354" s="3"/>
      <c r="C354" s="22"/>
      <c r="D354" s="4" t="str">
        <f>IF(C354="","",IFERROR(VLOOKUP(C354,'Calibrated Tools Register'!B:C,2,FALSE),"NOT registered"))</f>
        <v/>
      </c>
      <c r="E354" s="3"/>
      <c r="F354" s="4"/>
      <c r="G354" s="3"/>
      <c r="H354" s="3" t="str">
        <f ca="1">IFERROR(VLOOKUP(C354,'Calibrated Tools Register'!B:M,12,FALSE)-TODAY(),"")</f>
        <v/>
      </c>
      <c r="I354" s="3" t="str">
        <f t="shared" ca="1" si="11"/>
        <v/>
      </c>
      <c r="J354" s="3"/>
      <c r="K354" s="4"/>
      <c r="L354" s="3"/>
      <c r="M354" s="4"/>
      <c r="N354" s="4"/>
      <c r="O354" s="4"/>
    </row>
    <row r="355" spans="1:15">
      <c r="A355" s="3" t="str">
        <f t="shared" si="10"/>
        <v/>
      </c>
      <c r="B355" s="5"/>
      <c r="C355" s="23"/>
      <c r="D355" s="4" t="str">
        <f>IF(C355="","",IFERROR(VLOOKUP(C355,'Calibrated Tools Register'!B:C,2,FALSE),"NOT registered"))</f>
        <v/>
      </c>
      <c r="E355" s="5"/>
      <c r="F355" s="6"/>
      <c r="G355" s="5"/>
      <c r="H355" s="5" t="str">
        <f ca="1">IFERROR(VLOOKUP(C355,'Calibrated Tools Register'!B:M,12,FALSE)-TODAY(),"")</f>
        <v/>
      </c>
      <c r="I355" s="3" t="str">
        <f t="shared" ca="1" si="11"/>
        <v/>
      </c>
      <c r="J355" s="5"/>
      <c r="K355" s="6"/>
      <c r="L355" s="5"/>
      <c r="M355" s="6"/>
      <c r="N355" s="6"/>
      <c r="O355" s="6"/>
    </row>
    <row r="356" spans="1:15">
      <c r="A356" s="3" t="str">
        <f t="shared" si="10"/>
        <v/>
      </c>
      <c r="B356" s="3"/>
      <c r="C356" s="22"/>
      <c r="D356" s="4" t="str">
        <f>IF(C356="","",IFERROR(VLOOKUP(C356,'Calibrated Tools Register'!B:C,2,FALSE),"NOT registered"))</f>
        <v/>
      </c>
      <c r="E356" s="3"/>
      <c r="F356" s="4"/>
      <c r="G356" s="3"/>
      <c r="H356" s="3" t="str">
        <f ca="1">IFERROR(VLOOKUP(C356,'Calibrated Tools Register'!B:M,12,FALSE)-TODAY(),"")</f>
        <v/>
      </c>
      <c r="I356" s="3" t="str">
        <f t="shared" ca="1" si="11"/>
        <v/>
      </c>
      <c r="J356" s="3"/>
      <c r="K356" s="4"/>
      <c r="L356" s="3"/>
      <c r="M356" s="4"/>
      <c r="N356" s="4"/>
      <c r="O356" s="4"/>
    </row>
    <row r="357" spans="1:15">
      <c r="A357" s="3" t="str">
        <f t="shared" si="10"/>
        <v/>
      </c>
      <c r="B357" s="5"/>
      <c r="C357" s="23"/>
      <c r="D357" s="4" t="str">
        <f>IF(C357="","",IFERROR(VLOOKUP(C357,'Calibrated Tools Register'!B:C,2,FALSE),"NOT registered"))</f>
        <v/>
      </c>
      <c r="E357" s="5"/>
      <c r="F357" s="6"/>
      <c r="G357" s="5"/>
      <c r="H357" s="5" t="str">
        <f ca="1">IFERROR(VLOOKUP(C357,'Calibrated Tools Register'!B:M,12,FALSE)-TODAY(),"")</f>
        <v/>
      </c>
      <c r="I357" s="3" t="str">
        <f t="shared" ca="1" si="11"/>
        <v/>
      </c>
      <c r="J357" s="5"/>
      <c r="K357" s="6"/>
      <c r="L357" s="5"/>
      <c r="M357" s="6"/>
      <c r="N357" s="6"/>
      <c r="O357" s="6"/>
    </row>
    <row r="358" spans="1:15">
      <c r="A358" s="3" t="str">
        <f t="shared" si="10"/>
        <v/>
      </c>
      <c r="B358" s="3"/>
      <c r="C358" s="22"/>
      <c r="D358" s="4" t="str">
        <f>IF(C358="","",IFERROR(VLOOKUP(C358,'Calibrated Tools Register'!B:C,2,FALSE),"NOT registered"))</f>
        <v/>
      </c>
      <c r="E358" s="3"/>
      <c r="F358" s="4"/>
      <c r="G358" s="3"/>
      <c r="H358" s="3" t="str">
        <f ca="1">IFERROR(VLOOKUP(C358,'Calibrated Tools Register'!B:M,12,FALSE)-TODAY(),"")</f>
        <v/>
      </c>
      <c r="I358" s="3" t="str">
        <f t="shared" ca="1" si="11"/>
        <v/>
      </c>
      <c r="J358" s="3"/>
      <c r="K358" s="4"/>
      <c r="L358" s="3"/>
      <c r="M358" s="4"/>
      <c r="N358" s="4"/>
      <c r="O358" s="4"/>
    </row>
    <row r="359" spans="1:15">
      <c r="A359" s="3" t="str">
        <f t="shared" si="10"/>
        <v/>
      </c>
      <c r="B359" s="5"/>
      <c r="C359" s="23"/>
      <c r="D359" s="4" t="str">
        <f>IF(C359="","",IFERROR(VLOOKUP(C359,'Calibrated Tools Register'!B:C,2,FALSE),"NOT registered"))</f>
        <v/>
      </c>
      <c r="E359" s="5"/>
      <c r="F359" s="6"/>
      <c r="G359" s="5"/>
      <c r="H359" s="5" t="str">
        <f ca="1">IFERROR(VLOOKUP(C359,'Calibrated Tools Register'!B:M,12,FALSE)-TODAY(),"")</f>
        <v/>
      </c>
      <c r="I359" s="3" t="str">
        <f t="shared" ca="1" si="11"/>
        <v/>
      </c>
      <c r="J359" s="5"/>
      <c r="K359" s="6"/>
      <c r="L359" s="5"/>
      <c r="M359" s="6"/>
      <c r="N359" s="6"/>
      <c r="O359" s="6"/>
    </row>
    <row r="360" spans="1:15">
      <c r="A360" s="3" t="str">
        <f t="shared" si="10"/>
        <v/>
      </c>
      <c r="B360" s="3"/>
      <c r="C360" s="22"/>
      <c r="D360" s="4" t="str">
        <f>IF(C360="","",IFERROR(VLOOKUP(C360,'Calibrated Tools Register'!B:C,2,FALSE),"NOT registered"))</f>
        <v/>
      </c>
      <c r="E360" s="3"/>
      <c r="F360" s="4"/>
      <c r="G360" s="3"/>
      <c r="H360" s="3" t="str">
        <f ca="1">IFERROR(VLOOKUP(C360,'Calibrated Tools Register'!B:M,12,FALSE)-TODAY(),"")</f>
        <v/>
      </c>
      <c r="I360" s="3" t="str">
        <f t="shared" ca="1" si="11"/>
        <v/>
      </c>
      <c r="J360" s="3"/>
      <c r="K360" s="4"/>
      <c r="L360" s="3"/>
      <c r="M360" s="4"/>
      <c r="N360" s="4"/>
      <c r="O360" s="4"/>
    </row>
    <row r="361" spans="1:15">
      <c r="A361" s="3" t="str">
        <f t="shared" si="10"/>
        <v/>
      </c>
      <c r="B361" s="5"/>
      <c r="C361" s="23"/>
      <c r="D361" s="4" t="str">
        <f>IF(C361="","",IFERROR(VLOOKUP(C361,'Calibrated Tools Register'!B:C,2,FALSE),"NOT registered"))</f>
        <v/>
      </c>
      <c r="E361" s="5"/>
      <c r="F361" s="6"/>
      <c r="G361" s="5"/>
      <c r="H361" s="5" t="str">
        <f ca="1">IFERROR(VLOOKUP(C361,'Calibrated Tools Register'!B:M,12,FALSE)-TODAY(),"")</f>
        <v/>
      </c>
      <c r="I361" s="3" t="str">
        <f t="shared" ca="1" si="11"/>
        <v/>
      </c>
      <c r="J361" s="5"/>
      <c r="K361" s="6"/>
      <c r="L361" s="5"/>
      <c r="M361" s="6"/>
      <c r="N361" s="6"/>
      <c r="O361" s="6"/>
    </row>
    <row r="362" spans="1:15">
      <c r="A362" s="3" t="str">
        <f t="shared" si="10"/>
        <v/>
      </c>
      <c r="B362" s="3"/>
      <c r="C362" s="22"/>
      <c r="D362" s="4" t="str">
        <f>IF(C362="","",IFERROR(VLOOKUP(C362,'Calibrated Tools Register'!B:C,2,FALSE),"NOT registered"))</f>
        <v/>
      </c>
      <c r="E362" s="3"/>
      <c r="F362" s="4"/>
      <c r="G362" s="3"/>
      <c r="H362" s="3" t="str">
        <f ca="1">IFERROR(VLOOKUP(C362,'Calibrated Tools Register'!B:M,12,FALSE)-TODAY(),"")</f>
        <v/>
      </c>
      <c r="I362" s="3" t="str">
        <f t="shared" ca="1" si="11"/>
        <v/>
      </c>
      <c r="J362" s="3"/>
      <c r="K362" s="4"/>
      <c r="L362" s="3"/>
      <c r="M362" s="4"/>
      <c r="N362" s="4"/>
      <c r="O362" s="4"/>
    </row>
    <row r="363" spans="1:15">
      <c r="A363" s="3" t="str">
        <f t="shared" si="10"/>
        <v/>
      </c>
      <c r="B363" s="5"/>
      <c r="C363" s="23"/>
      <c r="D363" s="4" t="str">
        <f>IF(C363="","",IFERROR(VLOOKUP(C363,'Calibrated Tools Register'!B:C,2,FALSE),"NOT registered"))</f>
        <v/>
      </c>
      <c r="E363" s="5"/>
      <c r="F363" s="6"/>
      <c r="G363" s="5"/>
      <c r="H363" s="5" t="str">
        <f ca="1">IFERROR(VLOOKUP(C363,'Calibrated Tools Register'!B:M,12,FALSE)-TODAY(),"")</f>
        <v/>
      </c>
      <c r="I363" s="3" t="str">
        <f t="shared" ca="1" si="11"/>
        <v/>
      </c>
      <c r="J363" s="5"/>
      <c r="K363" s="6"/>
      <c r="L363" s="5"/>
      <c r="M363" s="6"/>
      <c r="N363" s="6"/>
      <c r="O363" s="6"/>
    </row>
    <row r="364" spans="1:15">
      <c r="A364" s="3" t="str">
        <f t="shared" si="10"/>
        <v/>
      </c>
      <c r="B364" s="3"/>
      <c r="C364" s="22"/>
      <c r="D364" s="4" t="str">
        <f>IF(C364="","",IFERROR(VLOOKUP(C364,'Calibrated Tools Register'!B:C,2,FALSE),"NOT registered"))</f>
        <v/>
      </c>
      <c r="E364" s="3"/>
      <c r="F364" s="4"/>
      <c r="G364" s="3"/>
      <c r="H364" s="3" t="str">
        <f ca="1">IFERROR(VLOOKUP(C364,'Calibrated Tools Register'!B:M,12,FALSE)-TODAY(),"")</f>
        <v/>
      </c>
      <c r="I364" s="3" t="str">
        <f t="shared" ca="1" si="11"/>
        <v/>
      </c>
      <c r="J364" s="3"/>
      <c r="K364" s="4"/>
      <c r="L364" s="3"/>
      <c r="M364" s="4"/>
      <c r="N364" s="4"/>
      <c r="O364" s="4"/>
    </row>
    <row r="365" spans="1:15">
      <c r="A365" s="3" t="str">
        <f t="shared" si="10"/>
        <v/>
      </c>
      <c r="B365" s="5"/>
      <c r="C365" s="23"/>
      <c r="D365" s="4" t="str">
        <f>IF(C365="","",IFERROR(VLOOKUP(C365,'Calibrated Tools Register'!B:C,2,FALSE),"NOT registered"))</f>
        <v/>
      </c>
      <c r="E365" s="5"/>
      <c r="F365" s="6"/>
      <c r="G365" s="5"/>
      <c r="H365" s="5" t="str">
        <f ca="1">IFERROR(VLOOKUP(C365,'Calibrated Tools Register'!B:M,12,FALSE)-TODAY(),"")</f>
        <v/>
      </c>
      <c r="I365" s="3" t="str">
        <f t="shared" ca="1" si="11"/>
        <v/>
      </c>
      <c r="J365" s="5"/>
      <c r="K365" s="6"/>
      <c r="L365" s="5"/>
      <c r="M365" s="6"/>
      <c r="N365" s="6"/>
      <c r="O365" s="6"/>
    </row>
    <row r="366" spans="1:15">
      <c r="A366" s="3" t="str">
        <f t="shared" si="10"/>
        <v/>
      </c>
      <c r="B366" s="3"/>
      <c r="C366" s="22"/>
      <c r="D366" s="4" t="str">
        <f>IF(C366="","",IFERROR(VLOOKUP(C366,'Calibrated Tools Register'!B:C,2,FALSE),"NOT registered"))</f>
        <v/>
      </c>
      <c r="E366" s="3"/>
      <c r="F366" s="4"/>
      <c r="G366" s="3"/>
      <c r="H366" s="3" t="str">
        <f ca="1">IFERROR(VLOOKUP(C366,'Calibrated Tools Register'!B:M,12,FALSE)-TODAY(),"")</f>
        <v/>
      </c>
      <c r="I366" s="3" t="str">
        <f t="shared" ca="1" si="11"/>
        <v/>
      </c>
      <c r="J366" s="3"/>
      <c r="K366" s="4"/>
      <c r="L366" s="3"/>
      <c r="M366" s="4"/>
      <c r="N366" s="4"/>
      <c r="O366" s="4"/>
    </row>
    <row r="367" spans="1:15">
      <c r="A367" s="3" t="str">
        <f t="shared" si="10"/>
        <v/>
      </c>
      <c r="B367" s="5"/>
      <c r="C367" s="23"/>
      <c r="D367" s="4" t="str">
        <f>IF(C367="","",IFERROR(VLOOKUP(C367,'Calibrated Tools Register'!B:C,2,FALSE),"NOT registered"))</f>
        <v/>
      </c>
      <c r="E367" s="5"/>
      <c r="F367" s="6"/>
      <c r="G367" s="5"/>
      <c r="H367" s="5" t="str">
        <f ca="1">IFERROR(VLOOKUP(C367,'Calibrated Tools Register'!B:M,12,FALSE)-TODAY(),"")</f>
        <v/>
      </c>
      <c r="I367" s="3" t="str">
        <f t="shared" ca="1" si="11"/>
        <v/>
      </c>
      <c r="J367" s="5"/>
      <c r="K367" s="6"/>
      <c r="L367" s="5"/>
      <c r="M367" s="6"/>
      <c r="N367" s="6"/>
      <c r="O367" s="6"/>
    </row>
    <row r="368" spans="1:15">
      <c r="A368" s="3" t="str">
        <f t="shared" si="10"/>
        <v/>
      </c>
      <c r="B368" s="3"/>
      <c r="C368" s="22"/>
      <c r="D368" s="4" t="str">
        <f>IF(C368="","",IFERROR(VLOOKUP(C368,'Calibrated Tools Register'!B:C,2,FALSE),"NOT registered"))</f>
        <v/>
      </c>
      <c r="E368" s="3"/>
      <c r="F368" s="4"/>
      <c r="G368" s="3"/>
      <c r="H368" s="3" t="str">
        <f ca="1">IFERROR(VLOOKUP(C368,'Calibrated Tools Register'!B:M,12,FALSE)-TODAY(),"")</f>
        <v/>
      </c>
      <c r="I368" s="3" t="str">
        <f t="shared" ca="1" si="11"/>
        <v/>
      </c>
      <c r="J368" s="3"/>
      <c r="K368" s="4"/>
      <c r="L368" s="3"/>
      <c r="M368" s="4"/>
      <c r="N368" s="4"/>
      <c r="O368" s="4"/>
    </row>
    <row r="369" spans="1:15">
      <c r="A369" s="3" t="str">
        <f t="shared" si="10"/>
        <v/>
      </c>
      <c r="B369" s="5"/>
      <c r="C369" s="23"/>
      <c r="D369" s="4" t="str">
        <f>IF(C369="","",IFERROR(VLOOKUP(C369,'Calibrated Tools Register'!B:C,2,FALSE),"NOT registered"))</f>
        <v/>
      </c>
      <c r="E369" s="5"/>
      <c r="F369" s="6"/>
      <c r="G369" s="5"/>
      <c r="H369" s="5" t="str">
        <f ca="1">IFERROR(VLOOKUP(C369,'Calibrated Tools Register'!B:M,12,FALSE)-TODAY(),"")</f>
        <v/>
      </c>
      <c r="I369" s="3" t="str">
        <f t="shared" ca="1" si="11"/>
        <v/>
      </c>
      <c r="J369" s="5"/>
      <c r="K369" s="6"/>
      <c r="L369" s="5"/>
      <c r="M369" s="6"/>
      <c r="N369" s="6"/>
      <c r="O369" s="6"/>
    </row>
    <row r="370" spans="1:15">
      <c r="A370" s="3" t="str">
        <f t="shared" si="10"/>
        <v/>
      </c>
      <c r="B370" s="3"/>
      <c r="C370" s="22"/>
      <c r="D370" s="4" t="str">
        <f>IF(C370="","",IFERROR(VLOOKUP(C370,'Calibrated Tools Register'!B:C,2,FALSE),"NOT registered"))</f>
        <v/>
      </c>
      <c r="E370" s="3"/>
      <c r="F370" s="4"/>
      <c r="G370" s="3"/>
      <c r="H370" s="3" t="str">
        <f ca="1">IFERROR(VLOOKUP(C370,'Calibrated Tools Register'!B:M,12,FALSE)-TODAY(),"")</f>
        <v/>
      </c>
      <c r="I370" s="3" t="str">
        <f t="shared" ca="1" si="11"/>
        <v/>
      </c>
      <c r="J370" s="3"/>
      <c r="K370" s="4"/>
      <c r="L370" s="3"/>
      <c r="M370" s="4"/>
      <c r="N370" s="4"/>
      <c r="O370" s="4"/>
    </row>
    <row r="371" spans="1:15">
      <c r="A371" s="3" t="str">
        <f t="shared" si="10"/>
        <v/>
      </c>
      <c r="B371" s="5"/>
      <c r="C371" s="23"/>
      <c r="D371" s="4" t="str">
        <f>IF(C371="","",IFERROR(VLOOKUP(C371,'Calibrated Tools Register'!B:C,2,FALSE),"NOT registered"))</f>
        <v/>
      </c>
      <c r="E371" s="5"/>
      <c r="F371" s="6"/>
      <c r="G371" s="5"/>
      <c r="H371" s="5" t="str">
        <f ca="1">IFERROR(VLOOKUP(C371,'Calibrated Tools Register'!B:M,12,FALSE)-TODAY(),"")</f>
        <v/>
      </c>
      <c r="I371" s="3" t="str">
        <f t="shared" ca="1" si="11"/>
        <v/>
      </c>
      <c r="J371" s="5"/>
      <c r="K371" s="6"/>
      <c r="L371" s="5"/>
      <c r="M371" s="6"/>
      <c r="N371" s="6"/>
      <c r="O371" s="6"/>
    </row>
    <row r="372" spans="1:15">
      <c r="A372" s="3" t="str">
        <f t="shared" si="10"/>
        <v/>
      </c>
      <c r="B372" s="3"/>
      <c r="C372" s="22"/>
      <c r="D372" s="4" t="str">
        <f>IF(C372="","",IFERROR(VLOOKUP(C372,'Calibrated Tools Register'!B:C,2,FALSE),"NOT registered"))</f>
        <v/>
      </c>
      <c r="E372" s="3"/>
      <c r="F372" s="4"/>
      <c r="G372" s="3"/>
      <c r="H372" s="3" t="str">
        <f ca="1">IFERROR(VLOOKUP(C372,'Calibrated Tools Register'!B:M,12,FALSE)-TODAY(),"")</f>
        <v/>
      </c>
      <c r="I372" s="3" t="str">
        <f t="shared" ca="1" si="11"/>
        <v/>
      </c>
      <c r="J372" s="3"/>
      <c r="K372" s="4"/>
      <c r="L372" s="3"/>
      <c r="M372" s="4"/>
      <c r="N372" s="4"/>
      <c r="O372" s="4"/>
    </row>
    <row r="373" spans="1:15">
      <c r="A373" s="3" t="str">
        <f t="shared" si="10"/>
        <v/>
      </c>
      <c r="B373" s="5"/>
      <c r="C373" s="23"/>
      <c r="D373" s="4" t="str">
        <f>IF(C373="","",IFERROR(VLOOKUP(C373,'Calibrated Tools Register'!B:C,2,FALSE),"NOT registered"))</f>
        <v/>
      </c>
      <c r="E373" s="5"/>
      <c r="F373" s="6"/>
      <c r="G373" s="5"/>
      <c r="H373" s="5" t="str">
        <f ca="1">IFERROR(VLOOKUP(C373,'Calibrated Tools Register'!B:M,12,FALSE)-TODAY(),"")</f>
        <v/>
      </c>
      <c r="I373" s="3" t="str">
        <f t="shared" ca="1" si="11"/>
        <v/>
      </c>
      <c r="J373" s="5"/>
      <c r="K373" s="6"/>
      <c r="L373" s="5"/>
      <c r="M373" s="6"/>
      <c r="N373" s="6"/>
      <c r="O373" s="6"/>
    </row>
    <row r="374" spans="1:15">
      <c r="A374" s="3" t="str">
        <f t="shared" si="10"/>
        <v/>
      </c>
      <c r="B374" s="3"/>
      <c r="C374" s="22"/>
      <c r="D374" s="4" t="str">
        <f>IF(C374="","",IFERROR(VLOOKUP(C374,'Calibrated Tools Register'!B:C,2,FALSE),"NOT registered"))</f>
        <v/>
      </c>
      <c r="E374" s="3"/>
      <c r="F374" s="4"/>
      <c r="G374" s="3"/>
      <c r="H374" s="3" t="str">
        <f ca="1">IFERROR(VLOOKUP(C374,'Calibrated Tools Register'!B:M,12,FALSE)-TODAY(),"")</f>
        <v/>
      </c>
      <c r="I374" s="3" t="str">
        <f t="shared" ca="1" si="11"/>
        <v/>
      </c>
      <c r="J374" s="3"/>
      <c r="K374" s="4"/>
      <c r="L374" s="3"/>
      <c r="M374" s="4"/>
      <c r="N374" s="4"/>
      <c r="O374" s="4"/>
    </row>
    <row r="375" spans="1:15">
      <c r="A375" s="3" t="str">
        <f t="shared" si="10"/>
        <v/>
      </c>
      <c r="B375" s="5"/>
      <c r="C375" s="23"/>
      <c r="D375" s="4" t="str">
        <f>IF(C375="","",IFERROR(VLOOKUP(C375,'Calibrated Tools Register'!B:C,2,FALSE),"NOT registered"))</f>
        <v/>
      </c>
      <c r="E375" s="5"/>
      <c r="F375" s="6"/>
      <c r="G375" s="5"/>
      <c r="H375" s="5" t="str">
        <f ca="1">IFERROR(VLOOKUP(C375,'Calibrated Tools Register'!B:M,12,FALSE)-TODAY(),"")</f>
        <v/>
      </c>
      <c r="I375" s="3" t="str">
        <f t="shared" ca="1" si="11"/>
        <v/>
      </c>
      <c r="J375" s="5"/>
      <c r="K375" s="6"/>
      <c r="L375" s="5"/>
      <c r="M375" s="6"/>
      <c r="N375" s="6"/>
      <c r="O375" s="6"/>
    </row>
    <row r="376" spans="1:15">
      <c r="A376" s="3" t="str">
        <f t="shared" si="10"/>
        <v/>
      </c>
      <c r="B376" s="3"/>
      <c r="C376" s="22"/>
      <c r="D376" s="4" t="str">
        <f>IF(C376="","",IFERROR(VLOOKUP(C376,'Calibrated Tools Register'!B:C,2,FALSE),"NOT registered"))</f>
        <v/>
      </c>
      <c r="E376" s="3"/>
      <c r="F376" s="4"/>
      <c r="G376" s="3"/>
      <c r="H376" s="3" t="str">
        <f ca="1">IFERROR(VLOOKUP(C376,'Calibrated Tools Register'!B:M,12,FALSE)-TODAY(),"")</f>
        <v/>
      </c>
      <c r="I376" s="3" t="str">
        <f t="shared" ca="1" si="11"/>
        <v/>
      </c>
      <c r="J376" s="3"/>
      <c r="K376" s="4"/>
      <c r="L376" s="3"/>
      <c r="M376" s="4"/>
      <c r="N376" s="4"/>
      <c r="O376" s="4"/>
    </row>
    <row r="377" spans="1:15">
      <c r="A377" s="3" t="str">
        <f t="shared" si="10"/>
        <v/>
      </c>
      <c r="B377" s="5"/>
      <c r="C377" s="23"/>
      <c r="D377" s="4" t="str">
        <f>IF(C377="","",IFERROR(VLOOKUP(C377,'Calibrated Tools Register'!B:C,2,FALSE),"NOT registered"))</f>
        <v/>
      </c>
      <c r="E377" s="5"/>
      <c r="F377" s="6"/>
      <c r="G377" s="5"/>
      <c r="H377" s="5" t="str">
        <f ca="1">IFERROR(VLOOKUP(C377,'Calibrated Tools Register'!B:M,12,FALSE)-TODAY(),"")</f>
        <v/>
      </c>
      <c r="I377" s="3" t="str">
        <f t="shared" ca="1" si="11"/>
        <v/>
      </c>
      <c r="J377" s="5"/>
      <c r="K377" s="6"/>
      <c r="L377" s="5"/>
      <c r="M377" s="6"/>
      <c r="N377" s="6"/>
      <c r="O377" s="6"/>
    </row>
    <row r="378" spans="1:15">
      <c r="A378" s="3" t="str">
        <f t="shared" si="10"/>
        <v/>
      </c>
      <c r="B378" s="3"/>
      <c r="C378" s="22"/>
      <c r="D378" s="4" t="str">
        <f>IF(C378="","",IFERROR(VLOOKUP(C378,'Calibrated Tools Register'!B:C,2,FALSE),"NOT registered"))</f>
        <v/>
      </c>
      <c r="E378" s="3"/>
      <c r="F378" s="4"/>
      <c r="G378" s="3"/>
      <c r="H378" s="3" t="str">
        <f ca="1">IFERROR(VLOOKUP(C378,'Calibrated Tools Register'!B:M,12,FALSE)-TODAY(),"")</f>
        <v/>
      </c>
      <c r="I378" s="3" t="str">
        <f t="shared" ca="1" si="11"/>
        <v/>
      </c>
      <c r="J378" s="3"/>
      <c r="K378" s="4"/>
      <c r="L378" s="3"/>
      <c r="M378" s="4"/>
      <c r="N378" s="4"/>
      <c r="O378" s="4"/>
    </row>
    <row r="379" spans="1:15">
      <c r="A379" s="3" t="str">
        <f t="shared" si="10"/>
        <v/>
      </c>
      <c r="B379" s="5"/>
      <c r="C379" s="23"/>
      <c r="D379" s="4" t="str">
        <f>IF(C379="","",IFERROR(VLOOKUP(C379,'Calibrated Tools Register'!B:C,2,FALSE),"NOT registered"))</f>
        <v/>
      </c>
      <c r="E379" s="5"/>
      <c r="F379" s="6"/>
      <c r="G379" s="5"/>
      <c r="H379" s="5" t="str">
        <f ca="1">IFERROR(VLOOKUP(C379,'Calibrated Tools Register'!B:M,12,FALSE)-TODAY(),"")</f>
        <v/>
      </c>
      <c r="I379" s="3" t="str">
        <f t="shared" ca="1" si="11"/>
        <v/>
      </c>
      <c r="J379" s="5"/>
      <c r="K379" s="6"/>
      <c r="L379" s="5"/>
      <c r="M379" s="6"/>
      <c r="N379" s="6"/>
      <c r="O379" s="6"/>
    </row>
    <row r="380" spans="1:15">
      <c r="A380" s="3" t="str">
        <f t="shared" si="10"/>
        <v/>
      </c>
      <c r="B380" s="3"/>
      <c r="C380" s="22"/>
      <c r="D380" s="4" t="str">
        <f>IF(C380="","",IFERROR(VLOOKUP(C380,'Calibrated Tools Register'!B:C,2,FALSE),"NOT registered"))</f>
        <v/>
      </c>
      <c r="E380" s="3"/>
      <c r="F380" s="4"/>
      <c r="G380" s="3"/>
      <c r="H380" s="3" t="str">
        <f ca="1">IFERROR(VLOOKUP(C380,'Calibrated Tools Register'!B:M,12,FALSE)-TODAY(),"")</f>
        <v/>
      </c>
      <c r="I380" s="3" t="str">
        <f t="shared" ca="1" si="11"/>
        <v/>
      </c>
      <c r="J380" s="3"/>
      <c r="K380" s="4"/>
      <c r="L380" s="3"/>
      <c r="M380" s="4"/>
      <c r="N380" s="4"/>
      <c r="O380" s="4"/>
    </row>
    <row r="381" spans="1:15">
      <c r="A381" s="3" t="str">
        <f t="shared" si="10"/>
        <v/>
      </c>
      <c r="B381" s="5"/>
      <c r="C381" s="23"/>
      <c r="D381" s="4" t="str">
        <f>IF(C381="","",IFERROR(VLOOKUP(C381,'Calibrated Tools Register'!B:C,2,FALSE),"NOT registered"))</f>
        <v/>
      </c>
      <c r="E381" s="5"/>
      <c r="F381" s="6"/>
      <c r="G381" s="5"/>
      <c r="H381" s="5" t="str">
        <f ca="1">IFERROR(VLOOKUP(C381,'Calibrated Tools Register'!B:M,12,FALSE)-TODAY(),"")</f>
        <v/>
      </c>
      <c r="I381" s="3" t="str">
        <f t="shared" ca="1" si="11"/>
        <v/>
      </c>
      <c r="J381" s="5"/>
      <c r="K381" s="6"/>
      <c r="L381" s="5"/>
      <c r="M381" s="6"/>
      <c r="N381" s="6"/>
      <c r="O381" s="6"/>
    </row>
    <row r="382" spans="1:15">
      <c r="A382" s="3" t="str">
        <f t="shared" si="10"/>
        <v/>
      </c>
      <c r="B382" s="3"/>
      <c r="C382" s="22"/>
      <c r="D382" s="4" t="str">
        <f>IF(C382="","",IFERROR(VLOOKUP(C382,'Calibrated Tools Register'!B:C,2,FALSE),"NOT registered"))</f>
        <v/>
      </c>
      <c r="E382" s="3"/>
      <c r="F382" s="4"/>
      <c r="G382" s="3"/>
      <c r="H382" s="3" t="str">
        <f ca="1">IFERROR(VLOOKUP(C382,'Calibrated Tools Register'!B:M,12,FALSE)-TODAY(),"")</f>
        <v/>
      </c>
      <c r="I382" s="3" t="str">
        <f t="shared" ca="1" si="11"/>
        <v/>
      </c>
      <c r="J382" s="3"/>
      <c r="K382" s="4"/>
      <c r="L382" s="3"/>
      <c r="M382" s="4"/>
      <c r="N382" s="4"/>
      <c r="O382" s="4"/>
    </row>
    <row r="383" spans="1:15">
      <c r="A383" s="3" t="str">
        <f t="shared" si="10"/>
        <v/>
      </c>
      <c r="B383" s="5"/>
      <c r="C383" s="23"/>
      <c r="D383" s="4" t="str">
        <f>IF(C383="","",IFERROR(VLOOKUP(C383,'Calibrated Tools Register'!B:C,2,FALSE),"NOT registered"))</f>
        <v/>
      </c>
      <c r="E383" s="5"/>
      <c r="F383" s="6"/>
      <c r="G383" s="5"/>
      <c r="H383" s="5" t="str">
        <f ca="1">IFERROR(VLOOKUP(C383,'Calibrated Tools Register'!B:M,12,FALSE)-TODAY(),"")</f>
        <v/>
      </c>
      <c r="I383" s="3" t="str">
        <f t="shared" ca="1" si="11"/>
        <v/>
      </c>
      <c r="J383" s="5"/>
      <c r="K383" s="6"/>
      <c r="L383" s="5"/>
      <c r="M383" s="6"/>
      <c r="N383" s="6"/>
      <c r="O383" s="6"/>
    </row>
    <row r="384" spans="1:15">
      <c r="A384" s="3" t="str">
        <f t="shared" si="10"/>
        <v/>
      </c>
      <c r="B384" s="3"/>
      <c r="C384" s="22"/>
      <c r="D384" s="4" t="str">
        <f>IF(C384="","",IFERROR(VLOOKUP(C384,'Calibrated Tools Register'!B:C,2,FALSE),"NOT registered"))</f>
        <v/>
      </c>
      <c r="E384" s="3"/>
      <c r="F384" s="4"/>
      <c r="G384" s="3"/>
      <c r="H384" s="3" t="str">
        <f ca="1">IFERROR(VLOOKUP(C384,'Calibrated Tools Register'!B:M,12,FALSE)-TODAY(),"")</f>
        <v/>
      </c>
      <c r="I384" s="3" t="str">
        <f t="shared" ca="1" si="11"/>
        <v/>
      </c>
      <c r="J384" s="3"/>
      <c r="K384" s="4"/>
      <c r="L384" s="3"/>
      <c r="M384" s="4"/>
      <c r="N384" s="4"/>
      <c r="O384" s="4"/>
    </row>
    <row r="385" spans="1:15">
      <c r="A385" s="3" t="str">
        <f t="shared" si="10"/>
        <v/>
      </c>
      <c r="B385" s="5"/>
      <c r="C385" s="23"/>
      <c r="D385" s="4" t="str">
        <f>IF(C385="","",IFERROR(VLOOKUP(C385,'Calibrated Tools Register'!B:C,2,FALSE),"NOT registered"))</f>
        <v/>
      </c>
      <c r="E385" s="5"/>
      <c r="F385" s="6"/>
      <c r="G385" s="5"/>
      <c r="H385" s="5" t="str">
        <f ca="1">IFERROR(VLOOKUP(C385,'Calibrated Tools Register'!B:M,12,FALSE)-TODAY(),"")</f>
        <v/>
      </c>
      <c r="I385" s="3" t="str">
        <f t="shared" ca="1" si="11"/>
        <v/>
      </c>
      <c r="J385" s="5"/>
      <c r="K385" s="6"/>
      <c r="L385" s="5"/>
      <c r="M385" s="6"/>
      <c r="N385" s="6"/>
      <c r="O385" s="6"/>
    </row>
    <row r="386" spans="1:15">
      <c r="A386" s="3" t="str">
        <f t="shared" si="10"/>
        <v/>
      </c>
      <c r="B386" s="3"/>
      <c r="C386" s="22"/>
      <c r="D386" s="4" t="str">
        <f>IF(C386="","",IFERROR(VLOOKUP(C386,'Calibrated Tools Register'!B:C,2,FALSE),"NOT registered"))</f>
        <v/>
      </c>
      <c r="E386" s="3"/>
      <c r="F386" s="4"/>
      <c r="G386" s="3"/>
      <c r="H386" s="3" t="str">
        <f ca="1">IFERROR(VLOOKUP(C386,'Calibrated Tools Register'!B:M,12,FALSE)-TODAY(),"")</f>
        <v/>
      </c>
      <c r="I386" s="3" t="str">
        <f t="shared" ca="1" si="11"/>
        <v/>
      </c>
      <c r="J386" s="3"/>
      <c r="K386" s="4"/>
      <c r="L386" s="3"/>
      <c r="M386" s="4"/>
      <c r="N386" s="4"/>
      <c r="O386" s="4"/>
    </row>
    <row r="387" spans="1:15">
      <c r="A387" s="3" t="str">
        <f t="shared" si="10"/>
        <v/>
      </c>
      <c r="B387" s="5"/>
      <c r="C387" s="23"/>
      <c r="D387" s="4" t="str">
        <f>IF(C387="","",IFERROR(VLOOKUP(C387,'Calibrated Tools Register'!B:C,2,FALSE),"NOT registered"))</f>
        <v/>
      </c>
      <c r="E387" s="5"/>
      <c r="F387" s="6"/>
      <c r="G387" s="5"/>
      <c r="H387" s="5" t="str">
        <f ca="1">IFERROR(VLOOKUP(C387,'Calibrated Tools Register'!B:M,12,FALSE)-TODAY(),"")</f>
        <v/>
      </c>
      <c r="I387" s="3" t="str">
        <f t="shared" ca="1" si="11"/>
        <v/>
      </c>
      <c r="J387" s="5"/>
      <c r="K387" s="6"/>
      <c r="L387" s="5"/>
      <c r="M387" s="6"/>
      <c r="N387" s="6"/>
      <c r="O387" s="6"/>
    </row>
    <row r="388" spans="1:15">
      <c r="A388" s="3" t="str">
        <f t="shared" ref="A388:A451" si="12">IF(C388="","",ROW(C388)-3)</f>
        <v/>
      </c>
      <c r="B388" s="3"/>
      <c r="C388" s="22"/>
      <c r="D388" s="4" t="str">
        <f>IF(C388="","",IFERROR(VLOOKUP(C388,'Calibrated Tools Register'!B:C,2,FALSE),"NOT registered"))</f>
        <v/>
      </c>
      <c r="E388" s="3"/>
      <c r="F388" s="4"/>
      <c r="G388" s="3"/>
      <c r="H388" s="3" t="str">
        <f ca="1">IFERROR(VLOOKUP(C388,'Calibrated Tools Register'!B:M,12,FALSE)-TODAY(),"")</f>
        <v/>
      </c>
      <c r="I388" s="3" t="str">
        <f t="shared" ca="1" si="11"/>
        <v/>
      </c>
      <c r="J388" s="3"/>
      <c r="K388" s="4"/>
      <c r="L388" s="3"/>
      <c r="M388" s="4"/>
      <c r="N388" s="4"/>
      <c r="O388" s="4"/>
    </row>
    <row r="389" spans="1:15">
      <c r="A389" s="3" t="str">
        <f t="shared" si="12"/>
        <v/>
      </c>
      <c r="B389" s="5"/>
      <c r="C389" s="23"/>
      <c r="D389" s="4" t="str">
        <f>IF(C389="","",IFERROR(VLOOKUP(C389,'Calibrated Tools Register'!B:C,2,FALSE),"NOT registered"))</f>
        <v/>
      </c>
      <c r="E389" s="5"/>
      <c r="F389" s="6"/>
      <c r="G389" s="5"/>
      <c r="H389" s="5" t="str">
        <f ca="1">IFERROR(VLOOKUP(C389,'Calibrated Tools Register'!B:M,12,FALSE)-TODAY(),"")</f>
        <v/>
      </c>
      <c r="I389" s="3" t="str">
        <f t="shared" ref="I389:I452" ca="1" si="13">IF(H389="","",IF(H389&lt;=0,"Urgent",IF(H389&lt;=30,"High",IF(H389&lt;=45,"Medium","Low"))))</f>
        <v/>
      </c>
      <c r="J389" s="5"/>
      <c r="K389" s="6"/>
      <c r="L389" s="5"/>
      <c r="M389" s="6"/>
      <c r="N389" s="6"/>
      <c r="O389" s="6"/>
    </row>
    <row r="390" spans="1:15">
      <c r="A390" s="3" t="str">
        <f t="shared" si="12"/>
        <v/>
      </c>
      <c r="B390" s="3"/>
      <c r="C390" s="22"/>
      <c r="D390" s="4" t="str">
        <f>IF(C390="","",IFERROR(VLOOKUP(C390,'Calibrated Tools Register'!B:C,2,FALSE),"NOT registered"))</f>
        <v/>
      </c>
      <c r="E390" s="3"/>
      <c r="F390" s="4"/>
      <c r="G390" s="3"/>
      <c r="H390" s="3" t="str">
        <f ca="1">IFERROR(VLOOKUP(C390,'Calibrated Tools Register'!B:M,12,FALSE)-TODAY(),"")</f>
        <v/>
      </c>
      <c r="I390" s="3" t="str">
        <f t="shared" ca="1" si="13"/>
        <v/>
      </c>
      <c r="J390" s="3"/>
      <c r="K390" s="4"/>
      <c r="L390" s="3"/>
      <c r="M390" s="4"/>
      <c r="N390" s="4"/>
      <c r="O390" s="4"/>
    </row>
    <row r="391" spans="1:15">
      <c r="A391" s="3" t="str">
        <f t="shared" si="12"/>
        <v/>
      </c>
      <c r="B391" s="5"/>
      <c r="C391" s="23"/>
      <c r="D391" s="4" t="str">
        <f>IF(C391="","",IFERROR(VLOOKUP(C391,'Calibrated Tools Register'!B:C,2,FALSE),"NOT registered"))</f>
        <v/>
      </c>
      <c r="E391" s="5"/>
      <c r="F391" s="6"/>
      <c r="G391" s="5"/>
      <c r="H391" s="5" t="str">
        <f ca="1">IFERROR(VLOOKUP(C391,'Calibrated Tools Register'!B:M,12,FALSE)-TODAY(),"")</f>
        <v/>
      </c>
      <c r="I391" s="3" t="str">
        <f t="shared" ca="1" si="13"/>
        <v/>
      </c>
      <c r="J391" s="5"/>
      <c r="K391" s="6"/>
      <c r="L391" s="5"/>
      <c r="M391" s="6"/>
      <c r="N391" s="6"/>
      <c r="O391" s="6"/>
    </row>
    <row r="392" spans="1:15">
      <c r="A392" s="3" t="str">
        <f t="shared" si="12"/>
        <v/>
      </c>
      <c r="B392" s="3"/>
      <c r="C392" s="22"/>
      <c r="D392" s="4" t="str">
        <f>IF(C392="","",IFERROR(VLOOKUP(C392,'Calibrated Tools Register'!B:C,2,FALSE),"NOT registered"))</f>
        <v/>
      </c>
      <c r="E392" s="3"/>
      <c r="F392" s="4"/>
      <c r="G392" s="3"/>
      <c r="H392" s="3" t="str">
        <f ca="1">IFERROR(VLOOKUP(C392,'Calibrated Tools Register'!B:M,12,FALSE)-TODAY(),"")</f>
        <v/>
      </c>
      <c r="I392" s="3" t="str">
        <f t="shared" ca="1" si="13"/>
        <v/>
      </c>
      <c r="J392" s="3"/>
      <c r="K392" s="4"/>
      <c r="L392" s="3"/>
      <c r="M392" s="4"/>
      <c r="N392" s="4"/>
      <c r="O392" s="4"/>
    </row>
    <row r="393" spans="1:15">
      <c r="A393" s="3" t="str">
        <f t="shared" si="12"/>
        <v/>
      </c>
      <c r="B393" s="5"/>
      <c r="C393" s="23"/>
      <c r="D393" s="4" t="str">
        <f>IF(C393="","",IFERROR(VLOOKUP(C393,'Calibrated Tools Register'!B:C,2,FALSE),"NOT registered"))</f>
        <v/>
      </c>
      <c r="E393" s="5"/>
      <c r="F393" s="6"/>
      <c r="G393" s="5"/>
      <c r="H393" s="5" t="str">
        <f ca="1">IFERROR(VLOOKUP(C393,'Calibrated Tools Register'!B:M,12,FALSE)-TODAY(),"")</f>
        <v/>
      </c>
      <c r="I393" s="3" t="str">
        <f t="shared" ca="1" si="13"/>
        <v/>
      </c>
      <c r="J393" s="5"/>
      <c r="K393" s="6"/>
      <c r="L393" s="5"/>
      <c r="M393" s="6"/>
      <c r="N393" s="6"/>
      <c r="O393" s="6"/>
    </row>
    <row r="394" spans="1:15">
      <c r="A394" s="3" t="str">
        <f t="shared" si="12"/>
        <v/>
      </c>
      <c r="B394" s="3"/>
      <c r="C394" s="22"/>
      <c r="D394" s="4" t="str">
        <f>IF(C394="","",IFERROR(VLOOKUP(C394,'Calibrated Tools Register'!B:C,2,FALSE),"NOT registered"))</f>
        <v/>
      </c>
      <c r="E394" s="3"/>
      <c r="F394" s="4"/>
      <c r="G394" s="3"/>
      <c r="H394" s="3" t="str">
        <f ca="1">IFERROR(VLOOKUP(C394,'Calibrated Tools Register'!B:M,12,FALSE)-TODAY(),"")</f>
        <v/>
      </c>
      <c r="I394" s="3" t="str">
        <f t="shared" ca="1" si="13"/>
        <v/>
      </c>
      <c r="J394" s="3"/>
      <c r="K394" s="4"/>
      <c r="L394" s="3"/>
      <c r="M394" s="4"/>
      <c r="N394" s="4"/>
      <c r="O394" s="4"/>
    </row>
    <row r="395" spans="1:15">
      <c r="A395" s="3" t="str">
        <f t="shared" si="12"/>
        <v/>
      </c>
      <c r="B395" s="5"/>
      <c r="C395" s="23"/>
      <c r="D395" s="4" t="str">
        <f>IF(C395="","",IFERROR(VLOOKUP(C395,'Calibrated Tools Register'!B:C,2,FALSE),"NOT registered"))</f>
        <v/>
      </c>
      <c r="E395" s="5"/>
      <c r="F395" s="6"/>
      <c r="G395" s="5"/>
      <c r="H395" s="5" t="str">
        <f ca="1">IFERROR(VLOOKUP(C395,'Calibrated Tools Register'!B:M,12,FALSE)-TODAY(),"")</f>
        <v/>
      </c>
      <c r="I395" s="3" t="str">
        <f t="shared" ca="1" si="13"/>
        <v/>
      </c>
      <c r="J395" s="5"/>
      <c r="K395" s="6"/>
      <c r="L395" s="5"/>
      <c r="M395" s="6"/>
      <c r="N395" s="6"/>
      <c r="O395" s="6"/>
    </row>
    <row r="396" spans="1:15">
      <c r="A396" s="3" t="str">
        <f t="shared" si="12"/>
        <v/>
      </c>
      <c r="B396" s="3"/>
      <c r="C396" s="22"/>
      <c r="D396" s="4" t="str">
        <f>IF(C396="","",IFERROR(VLOOKUP(C396,'Calibrated Tools Register'!B:C,2,FALSE),"NOT registered"))</f>
        <v/>
      </c>
      <c r="E396" s="3"/>
      <c r="F396" s="4"/>
      <c r="G396" s="3"/>
      <c r="H396" s="3" t="str">
        <f ca="1">IFERROR(VLOOKUP(C396,'Calibrated Tools Register'!B:M,12,FALSE)-TODAY(),"")</f>
        <v/>
      </c>
      <c r="I396" s="3" t="str">
        <f t="shared" ca="1" si="13"/>
        <v/>
      </c>
      <c r="J396" s="3"/>
      <c r="K396" s="4"/>
      <c r="L396" s="3"/>
      <c r="M396" s="4"/>
      <c r="N396" s="4"/>
      <c r="O396" s="4"/>
    </row>
    <row r="397" spans="1:15">
      <c r="A397" s="3" t="str">
        <f t="shared" si="12"/>
        <v/>
      </c>
      <c r="B397" s="5"/>
      <c r="C397" s="23"/>
      <c r="D397" s="4" t="str">
        <f>IF(C397="","",IFERROR(VLOOKUP(C397,'Calibrated Tools Register'!B:C,2,FALSE),"NOT registered"))</f>
        <v/>
      </c>
      <c r="E397" s="5"/>
      <c r="F397" s="6"/>
      <c r="G397" s="5"/>
      <c r="H397" s="5" t="str">
        <f ca="1">IFERROR(VLOOKUP(C397,'Calibrated Tools Register'!B:M,12,FALSE)-TODAY(),"")</f>
        <v/>
      </c>
      <c r="I397" s="3" t="str">
        <f t="shared" ca="1" si="13"/>
        <v/>
      </c>
      <c r="J397" s="5"/>
      <c r="K397" s="6"/>
      <c r="L397" s="5"/>
      <c r="M397" s="6"/>
      <c r="N397" s="6"/>
      <c r="O397" s="6"/>
    </row>
    <row r="398" spans="1:15">
      <c r="A398" s="3" t="str">
        <f t="shared" si="12"/>
        <v/>
      </c>
      <c r="B398" s="3"/>
      <c r="C398" s="22"/>
      <c r="D398" s="4" t="str">
        <f>IF(C398="","",IFERROR(VLOOKUP(C398,'Calibrated Tools Register'!B:C,2,FALSE),"NOT registered"))</f>
        <v/>
      </c>
      <c r="E398" s="3"/>
      <c r="F398" s="4"/>
      <c r="G398" s="3"/>
      <c r="H398" s="3" t="str">
        <f ca="1">IFERROR(VLOOKUP(C398,'Calibrated Tools Register'!B:M,12,FALSE)-TODAY(),"")</f>
        <v/>
      </c>
      <c r="I398" s="3" t="str">
        <f t="shared" ca="1" si="13"/>
        <v/>
      </c>
      <c r="J398" s="3"/>
      <c r="K398" s="4"/>
      <c r="L398" s="3"/>
      <c r="M398" s="4"/>
      <c r="N398" s="4"/>
      <c r="O398" s="4"/>
    </row>
    <row r="399" spans="1:15">
      <c r="A399" s="3" t="str">
        <f t="shared" si="12"/>
        <v/>
      </c>
      <c r="B399" s="5"/>
      <c r="C399" s="23"/>
      <c r="D399" s="4" t="str">
        <f>IF(C399="","",IFERROR(VLOOKUP(C399,'Calibrated Tools Register'!B:C,2,FALSE),"NOT registered"))</f>
        <v/>
      </c>
      <c r="E399" s="5"/>
      <c r="F399" s="6"/>
      <c r="G399" s="5"/>
      <c r="H399" s="5" t="str">
        <f ca="1">IFERROR(VLOOKUP(C399,'Calibrated Tools Register'!B:M,12,FALSE)-TODAY(),"")</f>
        <v/>
      </c>
      <c r="I399" s="3" t="str">
        <f t="shared" ca="1" si="13"/>
        <v/>
      </c>
      <c r="J399" s="5"/>
      <c r="K399" s="6"/>
      <c r="L399" s="5"/>
      <c r="M399" s="6"/>
      <c r="N399" s="6"/>
      <c r="O399" s="6"/>
    </row>
    <row r="400" spans="1:15">
      <c r="A400" s="3" t="str">
        <f t="shared" si="12"/>
        <v/>
      </c>
      <c r="B400" s="3"/>
      <c r="C400" s="22"/>
      <c r="D400" s="4" t="str">
        <f>IF(C400="","",IFERROR(VLOOKUP(C400,'Calibrated Tools Register'!B:C,2,FALSE),"NOT registered"))</f>
        <v/>
      </c>
      <c r="E400" s="3"/>
      <c r="F400" s="4"/>
      <c r="G400" s="3"/>
      <c r="H400" s="3" t="str">
        <f ca="1">IFERROR(VLOOKUP(C400,'Calibrated Tools Register'!B:M,12,FALSE)-TODAY(),"")</f>
        <v/>
      </c>
      <c r="I400" s="3" t="str">
        <f t="shared" ca="1" si="13"/>
        <v/>
      </c>
      <c r="J400" s="3"/>
      <c r="K400" s="4"/>
      <c r="L400" s="3"/>
      <c r="M400" s="4"/>
      <c r="N400" s="4"/>
      <c r="O400" s="4"/>
    </row>
    <row r="401" spans="1:15">
      <c r="A401" s="3" t="str">
        <f t="shared" si="12"/>
        <v/>
      </c>
      <c r="B401" s="5"/>
      <c r="C401" s="23"/>
      <c r="D401" s="4" t="str">
        <f>IF(C401="","",IFERROR(VLOOKUP(C401,'Calibrated Tools Register'!B:C,2,FALSE),"NOT registered"))</f>
        <v/>
      </c>
      <c r="E401" s="5"/>
      <c r="F401" s="6"/>
      <c r="G401" s="5"/>
      <c r="H401" s="5" t="str">
        <f ca="1">IFERROR(VLOOKUP(C401,'Calibrated Tools Register'!B:M,12,FALSE)-TODAY(),"")</f>
        <v/>
      </c>
      <c r="I401" s="3" t="str">
        <f t="shared" ca="1" si="13"/>
        <v/>
      </c>
      <c r="J401" s="5"/>
      <c r="K401" s="6"/>
      <c r="L401" s="5"/>
      <c r="M401" s="6"/>
      <c r="N401" s="6"/>
      <c r="O401" s="6"/>
    </row>
    <row r="402" spans="1:15">
      <c r="A402" s="3" t="str">
        <f t="shared" si="12"/>
        <v/>
      </c>
      <c r="B402" s="3"/>
      <c r="C402" s="22"/>
      <c r="D402" s="4" t="str">
        <f>IF(C402="","",IFERROR(VLOOKUP(C402,'Calibrated Tools Register'!B:C,2,FALSE),"NOT registered"))</f>
        <v/>
      </c>
      <c r="E402" s="3"/>
      <c r="F402" s="4"/>
      <c r="G402" s="3"/>
      <c r="H402" s="3" t="str">
        <f ca="1">IFERROR(VLOOKUP(C402,'Calibrated Tools Register'!B:M,12,FALSE)-TODAY(),"")</f>
        <v/>
      </c>
      <c r="I402" s="3" t="str">
        <f t="shared" ca="1" si="13"/>
        <v/>
      </c>
      <c r="J402" s="3"/>
      <c r="K402" s="4"/>
      <c r="L402" s="3"/>
      <c r="M402" s="4"/>
      <c r="N402" s="4"/>
      <c r="O402" s="4"/>
    </row>
    <row r="403" spans="1:15">
      <c r="A403" s="3" t="str">
        <f t="shared" si="12"/>
        <v/>
      </c>
      <c r="B403" s="5"/>
      <c r="C403" s="23"/>
      <c r="D403" s="4" t="str">
        <f>IF(C403="","",IFERROR(VLOOKUP(C403,'Calibrated Tools Register'!B:C,2,FALSE),"NOT registered"))</f>
        <v/>
      </c>
      <c r="E403" s="5"/>
      <c r="F403" s="6"/>
      <c r="G403" s="5"/>
      <c r="H403" s="5" t="str">
        <f ca="1">IFERROR(VLOOKUP(C403,'Calibrated Tools Register'!B:M,12,FALSE)-TODAY(),"")</f>
        <v/>
      </c>
      <c r="I403" s="3" t="str">
        <f t="shared" ca="1" si="13"/>
        <v/>
      </c>
      <c r="J403" s="5"/>
      <c r="K403" s="6"/>
      <c r="L403" s="5"/>
      <c r="M403" s="6"/>
      <c r="N403" s="6"/>
      <c r="O403" s="6"/>
    </row>
    <row r="404" spans="1:15">
      <c r="A404" s="3" t="str">
        <f t="shared" si="12"/>
        <v/>
      </c>
      <c r="B404" s="3"/>
      <c r="C404" s="22"/>
      <c r="D404" s="4" t="str">
        <f>IF(C404="","",IFERROR(VLOOKUP(C404,'Calibrated Tools Register'!B:C,2,FALSE),"NOT registered"))</f>
        <v/>
      </c>
      <c r="E404" s="3"/>
      <c r="F404" s="4"/>
      <c r="G404" s="3"/>
      <c r="H404" s="3" t="str">
        <f ca="1">IFERROR(VLOOKUP(C404,'Calibrated Tools Register'!B:M,12,FALSE)-TODAY(),"")</f>
        <v/>
      </c>
      <c r="I404" s="3" t="str">
        <f t="shared" ca="1" si="13"/>
        <v/>
      </c>
      <c r="J404" s="3"/>
      <c r="K404" s="4"/>
      <c r="L404" s="3"/>
      <c r="M404" s="4"/>
      <c r="N404" s="4"/>
      <c r="O404" s="4"/>
    </row>
    <row r="405" spans="1:15">
      <c r="A405" s="3" t="str">
        <f t="shared" si="12"/>
        <v/>
      </c>
      <c r="B405" s="5"/>
      <c r="C405" s="23"/>
      <c r="D405" s="4" t="str">
        <f>IF(C405="","",IFERROR(VLOOKUP(C405,'Calibrated Tools Register'!B:C,2,FALSE),"NOT registered"))</f>
        <v/>
      </c>
      <c r="E405" s="5"/>
      <c r="F405" s="6"/>
      <c r="G405" s="5"/>
      <c r="H405" s="5" t="str">
        <f ca="1">IFERROR(VLOOKUP(C405,'Calibrated Tools Register'!B:M,12,FALSE)-TODAY(),"")</f>
        <v/>
      </c>
      <c r="I405" s="3" t="str">
        <f t="shared" ca="1" si="13"/>
        <v/>
      </c>
      <c r="J405" s="5"/>
      <c r="K405" s="6"/>
      <c r="L405" s="5"/>
      <c r="M405" s="6"/>
      <c r="N405" s="6"/>
      <c r="O405" s="6"/>
    </row>
    <row r="406" spans="1:15">
      <c r="A406" s="3" t="str">
        <f t="shared" si="12"/>
        <v/>
      </c>
      <c r="B406" s="3"/>
      <c r="C406" s="22"/>
      <c r="D406" s="4" t="str">
        <f>IF(C406="","",IFERROR(VLOOKUP(C406,'Calibrated Tools Register'!B:C,2,FALSE),"NOT registered"))</f>
        <v/>
      </c>
      <c r="E406" s="3"/>
      <c r="F406" s="4"/>
      <c r="G406" s="3"/>
      <c r="H406" s="3" t="str">
        <f ca="1">IFERROR(VLOOKUP(C406,'Calibrated Tools Register'!B:M,12,FALSE)-TODAY(),"")</f>
        <v/>
      </c>
      <c r="I406" s="3" t="str">
        <f t="shared" ca="1" si="13"/>
        <v/>
      </c>
      <c r="J406" s="3"/>
      <c r="K406" s="4"/>
      <c r="L406" s="3"/>
      <c r="M406" s="4"/>
      <c r="N406" s="4"/>
      <c r="O406" s="4"/>
    </row>
    <row r="407" spans="1:15">
      <c r="A407" s="3" t="str">
        <f t="shared" si="12"/>
        <v/>
      </c>
      <c r="B407" s="5"/>
      <c r="C407" s="23"/>
      <c r="D407" s="4" t="str">
        <f>IF(C407="","",IFERROR(VLOOKUP(C407,'Calibrated Tools Register'!B:C,2,FALSE),"NOT registered"))</f>
        <v/>
      </c>
      <c r="E407" s="5"/>
      <c r="F407" s="6"/>
      <c r="G407" s="5"/>
      <c r="H407" s="5" t="str">
        <f ca="1">IFERROR(VLOOKUP(C407,'Calibrated Tools Register'!B:M,12,FALSE)-TODAY(),"")</f>
        <v/>
      </c>
      <c r="I407" s="3" t="str">
        <f t="shared" ca="1" si="13"/>
        <v/>
      </c>
      <c r="J407" s="5"/>
      <c r="K407" s="6"/>
      <c r="L407" s="5"/>
      <c r="M407" s="6"/>
      <c r="N407" s="6"/>
      <c r="O407" s="6"/>
    </row>
    <row r="408" spans="1:15">
      <c r="A408" s="3" t="str">
        <f t="shared" si="12"/>
        <v/>
      </c>
      <c r="B408" s="3"/>
      <c r="C408" s="22"/>
      <c r="D408" s="4" t="str">
        <f>IF(C408="","",IFERROR(VLOOKUP(C408,'Calibrated Tools Register'!B:C,2,FALSE),"NOT registered"))</f>
        <v/>
      </c>
      <c r="E408" s="3"/>
      <c r="F408" s="4"/>
      <c r="G408" s="3"/>
      <c r="H408" s="3" t="str">
        <f ca="1">IFERROR(VLOOKUP(C408,'Calibrated Tools Register'!B:M,12,FALSE)-TODAY(),"")</f>
        <v/>
      </c>
      <c r="I408" s="3" t="str">
        <f t="shared" ca="1" si="13"/>
        <v/>
      </c>
      <c r="J408" s="3"/>
      <c r="K408" s="4"/>
      <c r="L408" s="3"/>
      <c r="M408" s="4"/>
      <c r="N408" s="4"/>
      <c r="O408" s="4"/>
    </row>
    <row r="409" spans="1:15">
      <c r="A409" s="3" t="str">
        <f t="shared" si="12"/>
        <v/>
      </c>
      <c r="B409" s="5"/>
      <c r="C409" s="23"/>
      <c r="D409" s="4" t="str">
        <f>IF(C409="","",IFERROR(VLOOKUP(C409,'Calibrated Tools Register'!B:C,2,FALSE),"NOT registered"))</f>
        <v/>
      </c>
      <c r="E409" s="5"/>
      <c r="F409" s="6"/>
      <c r="G409" s="5"/>
      <c r="H409" s="5" t="str">
        <f ca="1">IFERROR(VLOOKUP(C409,'Calibrated Tools Register'!B:M,12,FALSE)-TODAY(),"")</f>
        <v/>
      </c>
      <c r="I409" s="3" t="str">
        <f t="shared" ca="1" si="13"/>
        <v/>
      </c>
      <c r="J409" s="5"/>
      <c r="K409" s="6"/>
      <c r="L409" s="5"/>
      <c r="M409" s="6"/>
      <c r="N409" s="6"/>
      <c r="O409" s="6"/>
    </row>
    <row r="410" spans="1:15">
      <c r="A410" s="3" t="str">
        <f t="shared" si="12"/>
        <v/>
      </c>
      <c r="B410" s="3"/>
      <c r="C410" s="22"/>
      <c r="D410" s="4" t="str">
        <f>IF(C410="","",IFERROR(VLOOKUP(C410,'Calibrated Tools Register'!B:C,2,FALSE),"NOT registered"))</f>
        <v/>
      </c>
      <c r="E410" s="3"/>
      <c r="F410" s="4"/>
      <c r="G410" s="3"/>
      <c r="H410" s="3" t="str">
        <f ca="1">IFERROR(VLOOKUP(C410,'Calibrated Tools Register'!B:M,12,FALSE)-TODAY(),"")</f>
        <v/>
      </c>
      <c r="I410" s="3" t="str">
        <f t="shared" ca="1" si="13"/>
        <v/>
      </c>
      <c r="J410" s="3"/>
      <c r="K410" s="4"/>
      <c r="L410" s="3"/>
      <c r="M410" s="4"/>
      <c r="N410" s="4"/>
      <c r="O410" s="4"/>
    </row>
    <row r="411" spans="1:15">
      <c r="A411" s="3" t="str">
        <f t="shared" si="12"/>
        <v/>
      </c>
      <c r="B411" s="5"/>
      <c r="C411" s="23"/>
      <c r="D411" s="4" t="str">
        <f>IF(C411="","",IFERROR(VLOOKUP(C411,'Calibrated Tools Register'!B:C,2,FALSE),"NOT registered"))</f>
        <v/>
      </c>
      <c r="E411" s="5"/>
      <c r="F411" s="6"/>
      <c r="G411" s="5"/>
      <c r="H411" s="5" t="str">
        <f ca="1">IFERROR(VLOOKUP(C411,'Calibrated Tools Register'!B:M,12,FALSE)-TODAY(),"")</f>
        <v/>
      </c>
      <c r="I411" s="3" t="str">
        <f t="shared" ca="1" si="13"/>
        <v/>
      </c>
      <c r="J411" s="5"/>
      <c r="K411" s="6"/>
      <c r="L411" s="5"/>
      <c r="M411" s="6"/>
      <c r="N411" s="6"/>
      <c r="O411" s="6"/>
    </row>
    <row r="412" spans="1:15">
      <c r="A412" s="3" t="str">
        <f t="shared" si="12"/>
        <v/>
      </c>
      <c r="B412" s="3"/>
      <c r="C412" s="22"/>
      <c r="D412" s="4" t="str">
        <f>IF(C412="","",IFERROR(VLOOKUP(C412,'Calibrated Tools Register'!B:C,2,FALSE),"NOT registered"))</f>
        <v/>
      </c>
      <c r="E412" s="3"/>
      <c r="F412" s="4"/>
      <c r="G412" s="3"/>
      <c r="H412" s="3" t="str">
        <f ca="1">IFERROR(VLOOKUP(C412,'Calibrated Tools Register'!B:M,12,FALSE)-TODAY(),"")</f>
        <v/>
      </c>
      <c r="I412" s="3" t="str">
        <f t="shared" ca="1" si="13"/>
        <v/>
      </c>
      <c r="J412" s="3"/>
      <c r="K412" s="4"/>
      <c r="L412" s="3"/>
      <c r="M412" s="4"/>
      <c r="N412" s="4"/>
      <c r="O412" s="4"/>
    </row>
    <row r="413" spans="1:15">
      <c r="A413" s="3" t="str">
        <f t="shared" si="12"/>
        <v/>
      </c>
      <c r="B413" s="5"/>
      <c r="C413" s="23"/>
      <c r="D413" s="4" t="str">
        <f>IF(C413="","",IFERROR(VLOOKUP(C413,'Calibrated Tools Register'!B:C,2,FALSE),"NOT registered"))</f>
        <v/>
      </c>
      <c r="E413" s="5"/>
      <c r="F413" s="6"/>
      <c r="G413" s="5"/>
      <c r="H413" s="5" t="str">
        <f ca="1">IFERROR(VLOOKUP(C413,'Calibrated Tools Register'!B:M,12,FALSE)-TODAY(),"")</f>
        <v/>
      </c>
      <c r="I413" s="3" t="str">
        <f t="shared" ca="1" si="13"/>
        <v/>
      </c>
      <c r="J413" s="5"/>
      <c r="K413" s="6"/>
      <c r="L413" s="5"/>
      <c r="M413" s="6"/>
      <c r="N413" s="6"/>
      <c r="O413" s="6"/>
    </row>
    <row r="414" spans="1:15">
      <c r="A414" s="3" t="str">
        <f t="shared" si="12"/>
        <v/>
      </c>
      <c r="B414" s="3"/>
      <c r="C414" s="22"/>
      <c r="D414" s="4" t="str">
        <f>IF(C414="","",IFERROR(VLOOKUP(C414,'Calibrated Tools Register'!B:C,2,FALSE),"NOT registered"))</f>
        <v/>
      </c>
      <c r="E414" s="3"/>
      <c r="F414" s="4"/>
      <c r="G414" s="3"/>
      <c r="H414" s="3" t="str">
        <f ca="1">IFERROR(VLOOKUP(C414,'Calibrated Tools Register'!B:M,12,FALSE)-TODAY(),"")</f>
        <v/>
      </c>
      <c r="I414" s="3" t="str">
        <f t="shared" ca="1" si="13"/>
        <v/>
      </c>
      <c r="J414" s="3"/>
      <c r="K414" s="4"/>
      <c r="L414" s="3"/>
      <c r="M414" s="4"/>
      <c r="N414" s="4"/>
      <c r="O414" s="4"/>
    </row>
    <row r="415" spans="1:15">
      <c r="A415" s="3" t="str">
        <f t="shared" si="12"/>
        <v/>
      </c>
      <c r="B415" s="5"/>
      <c r="C415" s="23"/>
      <c r="D415" s="4" t="str">
        <f>IF(C415="","",IFERROR(VLOOKUP(C415,'Calibrated Tools Register'!B:C,2,FALSE),"NOT registered"))</f>
        <v/>
      </c>
      <c r="E415" s="5"/>
      <c r="F415" s="6"/>
      <c r="G415" s="5"/>
      <c r="H415" s="5" t="str">
        <f ca="1">IFERROR(VLOOKUP(C415,'Calibrated Tools Register'!B:M,12,FALSE)-TODAY(),"")</f>
        <v/>
      </c>
      <c r="I415" s="3" t="str">
        <f t="shared" ca="1" si="13"/>
        <v/>
      </c>
      <c r="J415" s="5"/>
      <c r="K415" s="6"/>
      <c r="L415" s="5"/>
      <c r="M415" s="6"/>
      <c r="N415" s="6"/>
      <c r="O415" s="6"/>
    </row>
    <row r="416" spans="1:15">
      <c r="A416" s="3" t="str">
        <f t="shared" si="12"/>
        <v/>
      </c>
      <c r="B416" s="3"/>
      <c r="C416" s="22"/>
      <c r="D416" s="4" t="str">
        <f>IF(C416="","",IFERROR(VLOOKUP(C416,'Calibrated Tools Register'!B:C,2,FALSE),"NOT registered"))</f>
        <v/>
      </c>
      <c r="E416" s="3"/>
      <c r="F416" s="4"/>
      <c r="G416" s="3"/>
      <c r="H416" s="3" t="str">
        <f ca="1">IFERROR(VLOOKUP(C416,'Calibrated Tools Register'!B:M,12,FALSE)-TODAY(),"")</f>
        <v/>
      </c>
      <c r="I416" s="3" t="str">
        <f t="shared" ca="1" si="13"/>
        <v/>
      </c>
      <c r="J416" s="3"/>
      <c r="K416" s="4"/>
      <c r="L416" s="3"/>
      <c r="M416" s="4"/>
      <c r="N416" s="4"/>
      <c r="O416" s="4"/>
    </row>
    <row r="417" spans="1:15">
      <c r="A417" s="3" t="str">
        <f t="shared" si="12"/>
        <v/>
      </c>
      <c r="B417" s="5"/>
      <c r="C417" s="23"/>
      <c r="D417" s="4" t="str">
        <f>IF(C417="","",IFERROR(VLOOKUP(C417,'Calibrated Tools Register'!B:C,2,FALSE),"NOT registered"))</f>
        <v/>
      </c>
      <c r="E417" s="5"/>
      <c r="F417" s="6"/>
      <c r="G417" s="5"/>
      <c r="H417" s="5" t="str">
        <f ca="1">IFERROR(VLOOKUP(C417,'Calibrated Tools Register'!B:M,12,FALSE)-TODAY(),"")</f>
        <v/>
      </c>
      <c r="I417" s="3" t="str">
        <f t="shared" ca="1" si="13"/>
        <v/>
      </c>
      <c r="J417" s="5"/>
      <c r="K417" s="6"/>
      <c r="L417" s="5"/>
      <c r="M417" s="6"/>
      <c r="N417" s="6"/>
      <c r="O417" s="6"/>
    </row>
    <row r="418" spans="1:15">
      <c r="A418" s="3" t="str">
        <f t="shared" si="12"/>
        <v/>
      </c>
      <c r="B418" s="3"/>
      <c r="C418" s="22"/>
      <c r="D418" s="4" t="str">
        <f>IF(C418="","",IFERROR(VLOOKUP(C418,'Calibrated Tools Register'!B:C,2,FALSE),"NOT registered"))</f>
        <v/>
      </c>
      <c r="E418" s="3"/>
      <c r="F418" s="4"/>
      <c r="G418" s="3"/>
      <c r="H418" s="3" t="str">
        <f ca="1">IFERROR(VLOOKUP(C418,'Calibrated Tools Register'!B:M,12,FALSE)-TODAY(),"")</f>
        <v/>
      </c>
      <c r="I418" s="3" t="str">
        <f t="shared" ca="1" si="13"/>
        <v/>
      </c>
      <c r="J418" s="3"/>
      <c r="K418" s="4"/>
      <c r="L418" s="3"/>
      <c r="M418" s="4"/>
      <c r="N418" s="4"/>
      <c r="O418" s="4"/>
    </row>
    <row r="419" spans="1:15">
      <c r="A419" s="3" t="str">
        <f t="shared" si="12"/>
        <v/>
      </c>
      <c r="B419" s="5"/>
      <c r="C419" s="23"/>
      <c r="D419" s="4" t="str">
        <f>IF(C419="","",IFERROR(VLOOKUP(C419,'Calibrated Tools Register'!B:C,2,FALSE),"NOT registered"))</f>
        <v/>
      </c>
      <c r="E419" s="5"/>
      <c r="F419" s="6"/>
      <c r="G419" s="5"/>
      <c r="H419" s="5" t="str">
        <f ca="1">IFERROR(VLOOKUP(C419,'Calibrated Tools Register'!B:M,12,FALSE)-TODAY(),"")</f>
        <v/>
      </c>
      <c r="I419" s="3" t="str">
        <f t="shared" ca="1" si="13"/>
        <v/>
      </c>
      <c r="J419" s="5"/>
      <c r="K419" s="6"/>
      <c r="L419" s="5"/>
      <c r="M419" s="6"/>
      <c r="N419" s="6"/>
      <c r="O419" s="6"/>
    </row>
    <row r="420" spans="1:15">
      <c r="A420" s="3" t="str">
        <f t="shared" si="12"/>
        <v/>
      </c>
      <c r="B420" s="3"/>
      <c r="C420" s="22"/>
      <c r="D420" s="4" t="str">
        <f>IF(C420="","",IFERROR(VLOOKUP(C420,'Calibrated Tools Register'!B:C,2,FALSE),"NOT registered"))</f>
        <v/>
      </c>
      <c r="E420" s="3"/>
      <c r="F420" s="4"/>
      <c r="G420" s="3"/>
      <c r="H420" s="3" t="str">
        <f ca="1">IFERROR(VLOOKUP(C420,'Calibrated Tools Register'!B:M,12,FALSE)-TODAY(),"")</f>
        <v/>
      </c>
      <c r="I420" s="3" t="str">
        <f t="shared" ca="1" si="13"/>
        <v/>
      </c>
      <c r="J420" s="3"/>
      <c r="K420" s="4"/>
      <c r="L420" s="3"/>
      <c r="M420" s="4"/>
      <c r="N420" s="4"/>
      <c r="O420" s="4"/>
    </row>
    <row r="421" spans="1:15">
      <c r="A421" s="3" t="str">
        <f t="shared" si="12"/>
        <v/>
      </c>
      <c r="B421" s="5"/>
      <c r="C421" s="23"/>
      <c r="D421" s="4" t="str">
        <f>IF(C421="","",IFERROR(VLOOKUP(C421,'Calibrated Tools Register'!B:C,2,FALSE),"NOT registered"))</f>
        <v/>
      </c>
      <c r="E421" s="5"/>
      <c r="F421" s="6"/>
      <c r="G421" s="5"/>
      <c r="H421" s="5" t="str">
        <f ca="1">IFERROR(VLOOKUP(C421,'Calibrated Tools Register'!B:M,12,FALSE)-TODAY(),"")</f>
        <v/>
      </c>
      <c r="I421" s="3" t="str">
        <f t="shared" ca="1" si="13"/>
        <v/>
      </c>
      <c r="J421" s="5"/>
      <c r="K421" s="6"/>
      <c r="L421" s="5"/>
      <c r="M421" s="6"/>
      <c r="N421" s="6"/>
      <c r="O421" s="6"/>
    </row>
    <row r="422" spans="1:15">
      <c r="A422" s="3" t="str">
        <f t="shared" si="12"/>
        <v/>
      </c>
      <c r="B422" s="3"/>
      <c r="C422" s="22"/>
      <c r="D422" s="4" t="str">
        <f>IF(C422="","",IFERROR(VLOOKUP(C422,'Calibrated Tools Register'!B:C,2,FALSE),"NOT registered"))</f>
        <v/>
      </c>
      <c r="E422" s="3"/>
      <c r="F422" s="4"/>
      <c r="G422" s="3"/>
      <c r="H422" s="3" t="str">
        <f ca="1">IFERROR(VLOOKUP(C422,'Calibrated Tools Register'!B:M,12,FALSE)-TODAY(),"")</f>
        <v/>
      </c>
      <c r="I422" s="3" t="str">
        <f t="shared" ca="1" si="13"/>
        <v/>
      </c>
      <c r="J422" s="3"/>
      <c r="K422" s="4"/>
      <c r="L422" s="3"/>
      <c r="M422" s="4"/>
      <c r="N422" s="4"/>
      <c r="O422" s="4"/>
    </row>
    <row r="423" spans="1:15">
      <c r="A423" s="3" t="str">
        <f t="shared" si="12"/>
        <v/>
      </c>
      <c r="B423" s="5"/>
      <c r="C423" s="23"/>
      <c r="D423" s="4" t="str">
        <f>IF(C423="","",IFERROR(VLOOKUP(C423,'Calibrated Tools Register'!B:C,2,FALSE),"NOT registered"))</f>
        <v/>
      </c>
      <c r="E423" s="5"/>
      <c r="F423" s="6"/>
      <c r="G423" s="5"/>
      <c r="H423" s="5" t="str">
        <f ca="1">IFERROR(VLOOKUP(C423,'Calibrated Tools Register'!B:M,12,FALSE)-TODAY(),"")</f>
        <v/>
      </c>
      <c r="I423" s="3" t="str">
        <f t="shared" ca="1" si="13"/>
        <v/>
      </c>
      <c r="J423" s="5"/>
      <c r="K423" s="6"/>
      <c r="L423" s="5"/>
      <c r="M423" s="6"/>
      <c r="N423" s="6"/>
      <c r="O423" s="6"/>
    </row>
    <row r="424" spans="1:15">
      <c r="A424" s="3" t="str">
        <f t="shared" si="12"/>
        <v/>
      </c>
      <c r="B424" s="3"/>
      <c r="C424" s="22"/>
      <c r="D424" s="4" t="str">
        <f>IF(C424="","",IFERROR(VLOOKUP(C424,'Calibrated Tools Register'!B:C,2,FALSE),"NOT registered"))</f>
        <v/>
      </c>
      <c r="E424" s="3"/>
      <c r="F424" s="4"/>
      <c r="G424" s="3"/>
      <c r="H424" s="3" t="str">
        <f ca="1">IFERROR(VLOOKUP(C424,'Calibrated Tools Register'!B:M,12,FALSE)-TODAY(),"")</f>
        <v/>
      </c>
      <c r="I424" s="3" t="str">
        <f t="shared" ca="1" si="13"/>
        <v/>
      </c>
      <c r="J424" s="3"/>
      <c r="K424" s="4"/>
      <c r="L424" s="3"/>
      <c r="M424" s="4"/>
      <c r="N424" s="4"/>
      <c r="O424" s="4"/>
    </row>
    <row r="425" spans="1:15">
      <c r="A425" s="3" t="str">
        <f t="shared" si="12"/>
        <v/>
      </c>
      <c r="B425" s="5"/>
      <c r="C425" s="23"/>
      <c r="D425" s="4" t="str">
        <f>IF(C425="","",IFERROR(VLOOKUP(C425,'Calibrated Tools Register'!B:C,2,FALSE),"NOT registered"))</f>
        <v/>
      </c>
      <c r="E425" s="5"/>
      <c r="F425" s="6"/>
      <c r="G425" s="5"/>
      <c r="H425" s="5" t="str">
        <f ca="1">IFERROR(VLOOKUP(C425,'Calibrated Tools Register'!B:M,12,FALSE)-TODAY(),"")</f>
        <v/>
      </c>
      <c r="I425" s="3" t="str">
        <f t="shared" ca="1" si="13"/>
        <v/>
      </c>
      <c r="J425" s="5"/>
      <c r="K425" s="6"/>
      <c r="L425" s="5"/>
      <c r="M425" s="6"/>
      <c r="N425" s="6"/>
      <c r="O425" s="6"/>
    </row>
    <row r="426" spans="1:15">
      <c r="A426" s="3" t="str">
        <f t="shared" si="12"/>
        <v/>
      </c>
      <c r="B426" s="3"/>
      <c r="C426" s="22"/>
      <c r="D426" s="4" t="str">
        <f>IF(C426="","",IFERROR(VLOOKUP(C426,'Calibrated Tools Register'!B:C,2,FALSE),"NOT registered"))</f>
        <v/>
      </c>
      <c r="E426" s="3"/>
      <c r="F426" s="4"/>
      <c r="G426" s="3"/>
      <c r="H426" s="3" t="str">
        <f ca="1">IFERROR(VLOOKUP(C426,'Calibrated Tools Register'!B:M,12,FALSE)-TODAY(),"")</f>
        <v/>
      </c>
      <c r="I426" s="3" t="str">
        <f t="shared" ca="1" si="13"/>
        <v/>
      </c>
      <c r="J426" s="3"/>
      <c r="K426" s="4"/>
      <c r="L426" s="3"/>
      <c r="M426" s="4"/>
      <c r="N426" s="4"/>
      <c r="O426" s="4"/>
    </row>
    <row r="427" spans="1:15">
      <c r="A427" s="3" t="str">
        <f t="shared" si="12"/>
        <v/>
      </c>
      <c r="B427" s="5"/>
      <c r="C427" s="23"/>
      <c r="D427" s="4" t="str">
        <f>IF(C427="","",IFERROR(VLOOKUP(C427,'Calibrated Tools Register'!B:C,2,FALSE),"NOT registered"))</f>
        <v/>
      </c>
      <c r="E427" s="5"/>
      <c r="F427" s="6"/>
      <c r="G427" s="5"/>
      <c r="H427" s="5" t="str">
        <f ca="1">IFERROR(VLOOKUP(C427,'Calibrated Tools Register'!B:M,12,FALSE)-TODAY(),"")</f>
        <v/>
      </c>
      <c r="I427" s="3" t="str">
        <f t="shared" ca="1" si="13"/>
        <v/>
      </c>
      <c r="J427" s="5"/>
      <c r="K427" s="6"/>
      <c r="L427" s="5"/>
      <c r="M427" s="6"/>
      <c r="N427" s="6"/>
      <c r="O427" s="6"/>
    </row>
    <row r="428" spans="1:15">
      <c r="A428" s="3" t="str">
        <f t="shared" si="12"/>
        <v/>
      </c>
      <c r="B428" s="3"/>
      <c r="C428" s="22"/>
      <c r="D428" s="4" t="str">
        <f>IF(C428="","",IFERROR(VLOOKUP(C428,'Calibrated Tools Register'!B:C,2,FALSE),"NOT registered"))</f>
        <v/>
      </c>
      <c r="E428" s="3"/>
      <c r="F428" s="4"/>
      <c r="G428" s="3"/>
      <c r="H428" s="3" t="str">
        <f ca="1">IFERROR(VLOOKUP(C428,'Calibrated Tools Register'!B:M,12,FALSE)-TODAY(),"")</f>
        <v/>
      </c>
      <c r="I428" s="3" t="str">
        <f t="shared" ca="1" si="13"/>
        <v/>
      </c>
      <c r="J428" s="3"/>
      <c r="K428" s="4"/>
      <c r="L428" s="3"/>
      <c r="M428" s="4"/>
      <c r="N428" s="4"/>
      <c r="O428" s="4"/>
    </row>
    <row r="429" spans="1:15">
      <c r="A429" s="3" t="str">
        <f t="shared" si="12"/>
        <v/>
      </c>
      <c r="B429" s="5"/>
      <c r="C429" s="23"/>
      <c r="D429" s="4" t="str">
        <f>IF(C429="","",IFERROR(VLOOKUP(C429,'Calibrated Tools Register'!B:C,2,FALSE),"NOT registered"))</f>
        <v/>
      </c>
      <c r="E429" s="5"/>
      <c r="F429" s="6"/>
      <c r="G429" s="5"/>
      <c r="H429" s="5" t="str">
        <f ca="1">IFERROR(VLOOKUP(C429,'Calibrated Tools Register'!B:M,12,FALSE)-TODAY(),"")</f>
        <v/>
      </c>
      <c r="I429" s="3" t="str">
        <f t="shared" ca="1" si="13"/>
        <v/>
      </c>
      <c r="J429" s="5"/>
      <c r="K429" s="6"/>
      <c r="L429" s="5"/>
      <c r="M429" s="6"/>
      <c r="N429" s="6"/>
      <c r="O429" s="6"/>
    </row>
    <row r="430" spans="1:15">
      <c r="A430" s="3" t="str">
        <f t="shared" si="12"/>
        <v/>
      </c>
      <c r="B430" s="3"/>
      <c r="C430" s="22"/>
      <c r="D430" s="4" t="str">
        <f>IF(C430="","",IFERROR(VLOOKUP(C430,'Calibrated Tools Register'!B:C,2,FALSE),"NOT registered"))</f>
        <v/>
      </c>
      <c r="E430" s="3"/>
      <c r="F430" s="4"/>
      <c r="G430" s="3"/>
      <c r="H430" s="3" t="str">
        <f ca="1">IFERROR(VLOOKUP(C430,'Calibrated Tools Register'!B:M,12,FALSE)-TODAY(),"")</f>
        <v/>
      </c>
      <c r="I430" s="3" t="str">
        <f t="shared" ca="1" si="13"/>
        <v/>
      </c>
      <c r="J430" s="3"/>
      <c r="K430" s="4"/>
      <c r="L430" s="3"/>
      <c r="M430" s="4"/>
      <c r="N430" s="4"/>
      <c r="O430" s="4"/>
    </row>
    <row r="431" spans="1:15">
      <c r="A431" s="3" t="str">
        <f t="shared" si="12"/>
        <v/>
      </c>
      <c r="B431" s="5"/>
      <c r="C431" s="23"/>
      <c r="D431" s="4" t="str">
        <f>IF(C431="","",IFERROR(VLOOKUP(C431,'Calibrated Tools Register'!B:C,2,FALSE),"NOT registered"))</f>
        <v/>
      </c>
      <c r="E431" s="5"/>
      <c r="F431" s="6"/>
      <c r="G431" s="5"/>
      <c r="H431" s="5" t="str">
        <f ca="1">IFERROR(VLOOKUP(C431,'Calibrated Tools Register'!B:M,12,FALSE)-TODAY(),"")</f>
        <v/>
      </c>
      <c r="I431" s="3" t="str">
        <f t="shared" ca="1" si="13"/>
        <v/>
      </c>
      <c r="J431" s="5"/>
      <c r="K431" s="6"/>
      <c r="L431" s="5"/>
      <c r="M431" s="6"/>
      <c r="N431" s="6"/>
      <c r="O431" s="6"/>
    </row>
    <row r="432" spans="1:15">
      <c r="A432" s="3" t="str">
        <f t="shared" si="12"/>
        <v/>
      </c>
      <c r="B432" s="3"/>
      <c r="C432" s="22"/>
      <c r="D432" s="4" t="str">
        <f>IF(C432="","",IFERROR(VLOOKUP(C432,'Calibrated Tools Register'!B:C,2,FALSE),"NOT registered"))</f>
        <v/>
      </c>
      <c r="E432" s="3"/>
      <c r="F432" s="4"/>
      <c r="G432" s="3"/>
      <c r="H432" s="3" t="str">
        <f ca="1">IFERROR(VLOOKUP(C432,'Calibrated Tools Register'!B:M,12,FALSE)-TODAY(),"")</f>
        <v/>
      </c>
      <c r="I432" s="3" t="str">
        <f t="shared" ca="1" si="13"/>
        <v/>
      </c>
      <c r="J432" s="3"/>
      <c r="K432" s="4"/>
      <c r="L432" s="3"/>
      <c r="M432" s="4"/>
      <c r="N432" s="4"/>
      <c r="O432" s="4"/>
    </row>
    <row r="433" spans="1:15">
      <c r="A433" s="3" t="str">
        <f t="shared" si="12"/>
        <v/>
      </c>
      <c r="B433" s="5"/>
      <c r="C433" s="23"/>
      <c r="D433" s="4" t="str">
        <f>IF(C433="","",IFERROR(VLOOKUP(C433,'Calibrated Tools Register'!B:C,2,FALSE),"NOT registered"))</f>
        <v/>
      </c>
      <c r="E433" s="5"/>
      <c r="F433" s="6"/>
      <c r="G433" s="5"/>
      <c r="H433" s="5" t="str">
        <f ca="1">IFERROR(VLOOKUP(C433,'Calibrated Tools Register'!B:M,12,FALSE)-TODAY(),"")</f>
        <v/>
      </c>
      <c r="I433" s="3" t="str">
        <f t="shared" ca="1" si="13"/>
        <v/>
      </c>
      <c r="J433" s="5"/>
      <c r="K433" s="6"/>
      <c r="L433" s="5"/>
      <c r="M433" s="6"/>
      <c r="N433" s="6"/>
      <c r="O433" s="6"/>
    </row>
    <row r="434" spans="1:15">
      <c r="A434" s="3" t="str">
        <f t="shared" si="12"/>
        <v/>
      </c>
      <c r="B434" s="3"/>
      <c r="C434" s="22"/>
      <c r="D434" s="4" t="str">
        <f>IF(C434="","",IFERROR(VLOOKUP(C434,'Calibrated Tools Register'!B:C,2,FALSE),"NOT registered"))</f>
        <v/>
      </c>
      <c r="E434" s="3"/>
      <c r="F434" s="4"/>
      <c r="G434" s="3"/>
      <c r="H434" s="3" t="str">
        <f ca="1">IFERROR(VLOOKUP(C434,'Calibrated Tools Register'!B:M,12,FALSE)-TODAY(),"")</f>
        <v/>
      </c>
      <c r="I434" s="3" t="str">
        <f t="shared" ca="1" si="13"/>
        <v/>
      </c>
      <c r="J434" s="3"/>
      <c r="K434" s="4"/>
      <c r="L434" s="3"/>
      <c r="M434" s="4"/>
      <c r="N434" s="4"/>
      <c r="O434" s="4"/>
    </row>
    <row r="435" spans="1:15">
      <c r="A435" s="3" t="str">
        <f t="shared" si="12"/>
        <v/>
      </c>
      <c r="B435" s="5"/>
      <c r="C435" s="23"/>
      <c r="D435" s="4" t="str">
        <f>IF(C435="","",IFERROR(VLOOKUP(C435,'Calibrated Tools Register'!B:C,2,FALSE),"NOT registered"))</f>
        <v/>
      </c>
      <c r="E435" s="5"/>
      <c r="F435" s="6"/>
      <c r="G435" s="5"/>
      <c r="H435" s="5" t="str">
        <f ca="1">IFERROR(VLOOKUP(C435,'Calibrated Tools Register'!B:M,12,FALSE)-TODAY(),"")</f>
        <v/>
      </c>
      <c r="I435" s="3" t="str">
        <f t="shared" ca="1" si="13"/>
        <v/>
      </c>
      <c r="J435" s="5"/>
      <c r="K435" s="6"/>
      <c r="L435" s="5"/>
      <c r="M435" s="6"/>
      <c r="N435" s="6"/>
      <c r="O435" s="6"/>
    </row>
    <row r="436" spans="1:15">
      <c r="A436" s="3" t="str">
        <f t="shared" si="12"/>
        <v/>
      </c>
      <c r="B436" s="3"/>
      <c r="C436" s="22"/>
      <c r="D436" s="4" t="str">
        <f>IF(C436="","",IFERROR(VLOOKUP(C436,'Calibrated Tools Register'!B:C,2,FALSE),"NOT registered"))</f>
        <v/>
      </c>
      <c r="E436" s="3"/>
      <c r="F436" s="4"/>
      <c r="G436" s="3"/>
      <c r="H436" s="3" t="str">
        <f ca="1">IFERROR(VLOOKUP(C436,'Calibrated Tools Register'!B:M,12,FALSE)-TODAY(),"")</f>
        <v/>
      </c>
      <c r="I436" s="3" t="str">
        <f t="shared" ca="1" si="13"/>
        <v/>
      </c>
      <c r="J436" s="3"/>
      <c r="K436" s="4"/>
      <c r="L436" s="3"/>
      <c r="M436" s="4"/>
      <c r="N436" s="4"/>
      <c r="O436" s="4"/>
    </row>
    <row r="437" spans="1:15">
      <c r="A437" s="3" t="str">
        <f t="shared" si="12"/>
        <v/>
      </c>
      <c r="B437" s="5"/>
      <c r="C437" s="23"/>
      <c r="D437" s="4" t="str">
        <f>IF(C437="","",IFERROR(VLOOKUP(C437,'Calibrated Tools Register'!B:C,2,FALSE),"NOT registered"))</f>
        <v/>
      </c>
      <c r="E437" s="5"/>
      <c r="F437" s="6"/>
      <c r="G437" s="5"/>
      <c r="H437" s="5" t="str">
        <f ca="1">IFERROR(VLOOKUP(C437,'Calibrated Tools Register'!B:M,12,FALSE)-TODAY(),"")</f>
        <v/>
      </c>
      <c r="I437" s="3" t="str">
        <f t="shared" ca="1" si="13"/>
        <v/>
      </c>
      <c r="J437" s="5"/>
      <c r="K437" s="6"/>
      <c r="L437" s="5"/>
      <c r="M437" s="6"/>
      <c r="N437" s="6"/>
      <c r="O437" s="6"/>
    </row>
    <row r="438" spans="1:15">
      <c r="A438" s="3" t="str">
        <f t="shared" si="12"/>
        <v/>
      </c>
      <c r="B438" s="3"/>
      <c r="C438" s="22"/>
      <c r="D438" s="4" t="str">
        <f>IF(C438="","",IFERROR(VLOOKUP(C438,'Calibrated Tools Register'!B:C,2,FALSE),"NOT registered"))</f>
        <v/>
      </c>
      <c r="E438" s="3"/>
      <c r="F438" s="4"/>
      <c r="G438" s="3"/>
      <c r="H438" s="3" t="str">
        <f ca="1">IFERROR(VLOOKUP(C438,'Calibrated Tools Register'!B:M,12,FALSE)-TODAY(),"")</f>
        <v/>
      </c>
      <c r="I438" s="3" t="str">
        <f t="shared" ca="1" si="13"/>
        <v/>
      </c>
      <c r="J438" s="3"/>
      <c r="K438" s="4"/>
      <c r="L438" s="3"/>
      <c r="M438" s="4"/>
      <c r="N438" s="4"/>
      <c r="O438" s="4"/>
    </row>
    <row r="439" spans="1:15">
      <c r="A439" s="3" t="str">
        <f t="shared" si="12"/>
        <v/>
      </c>
      <c r="B439" s="5"/>
      <c r="C439" s="23"/>
      <c r="D439" s="4" t="str">
        <f>IF(C439="","",IFERROR(VLOOKUP(C439,'Calibrated Tools Register'!B:C,2,FALSE),"NOT registered"))</f>
        <v/>
      </c>
      <c r="E439" s="5"/>
      <c r="F439" s="6"/>
      <c r="G439" s="5"/>
      <c r="H439" s="5" t="str">
        <f ca="1">IFERROR(VLOOKUP(C439,'Calibrated Tools Register'!B:M,12,FALSE)-TODAY(),"")</f>
        <v/>
      </c>
      <c r="I439" s="3" t="str">
        <f t="shared" ca="1" si="13"/>
        <v/>
      </c>
      <c r="J439" s="5"/>
      <c r="K439" s="6"/>
      <c r="L439" s="5"/>
      <c r="M439" s="6"/>
      <c r="N439" s="6"/>
      <c r="O439" s="6"/>
    </row>
    <row r="440" spans="1:15">
      <c r="A440" s="3" t="str">
        <f t="shared" si="12"/>
        <v/>
      </c>
      <c r="B440" s="3"/>
      <c r="C440" s="22"/>
      <c r="D440" s="4" t="str">
        <f>IF(C440="","",IFERROR(VLOOKUP(C440,'Calibrated Tools Register'!B:C,2,FALSE),"NOT registered"))</f>
        <v/>
      </c>
      <c r="E440" s="3"/>
      <c r="F440" s="4"/>
      <c r="G440" s="3"/>
      <c r="H440" s="3" t="str">
        <f ca="1">IFERROR(VLOOKUP(C440,'Calibrated Tools Register'!B:M,12,FALSE)-TODAY(),"")</f>
        <v/>
      </c>
      <c r="I440" s="3" t="str">
        <f t="shared" ca="1" si="13"/>
        <v/>
      </c>
      <c r="J440" s="3"/>
      <c r="K440" s="4"/>
      <c r="L440" s="3"/>
      <c r="M440" s="4"/>
      <c r="N440" s="4"/>
      <c r="O440" s="4"/>
    </row>
    <row r="441" spans="1:15">
      <c r="A441" s="3" t="str">
        <f t="shared" si="12"/>
        <v/>
      </c>
      <c r="B441" s="5"/>
      <c r="C441" s="23"/>
      <c r="D441" s="4" t="str">
        <f>IF(C441="","",IFERROR(VLOOKUP(C441,'Calibrated Tools Register'!B:C,2,FALSE),"NOT registered"))</f>
        <v/>
      </c>
      <c r="E441" s="5"/>
      <c r="F441" s="6"/>
      <c r="G441" s="5"/>
      <c r="H441" s="5" t="str">
        <f ca="1">IFERROR(VLOOKUP(C441,'Calibrated Tools Register'!B:M,12,FALSE)-TODAY(),"")</f>
        <v/>
      </c>
      <c r="I441" s="3" t="str">
        <f t="shared" ca="1" si="13"/>
        <v/>
      </c>
      <c r="J441" s="5"/>
      <c r="K441" s="6"/>
      <c r="L441" s="5"/>
      <c r="M441" s="6"/>
      <c r="N441" s="6"/>
      <c r="O441" s="6"/>
    </row>
    <row r="442" spans="1:15">
      <c r="A442" s="3" t="str">
        <f t="shared" si="12"/>
        <v/>
      </c>
      <c r="B442" s="3"/>
      <c r="C442" s="22"/>
      <c r="D442" s="4" t="str">
        <f>IF(C442="","",IFERROR(VLOOKUP(C442,'Calibrated Tools Register'!B:C,2,FALSE),"NOT registered"))</f>
        <v/>
      </c>
      <c r="E442" s="3"/>
      <c r="F442" s="4"/>
      <c r="G442" s="3"/>
      <c r="H442" s="3" t="str">
        <f ca="1">IFERROR(VLOOKUP(C442,'Calibrated Tools Register'!B:M,12,FALSE)-TODAY(),"")</f>
        <v/>
      </c>
      <c r="I442" s="3" t="str">
        <f t="shared" ca="1" si="13"/>
        <v/>
      </c>
      <c r="J442" s="3"/>
      <c r="K442" s="4"/>
      <c r="L442" s="3"/>
      <c r="M442" s="4"/>
      <c r="N442" s="4"/>
      <c r="O442" s="4"/>
    </row>
    <row r="443" spans="1:15">
      <c r="A443" s="3" t="str">
        <f t="shared" si="12"/>
        <v/>
      </c>
      <c r="B443" s="5"/>
      <c r="C443" s="23"/>
      <c r="D443" s="4" t="str">
        <f>IF(C443="","",IFERROR(VLOOKUP(C443,'Calibrated Tools Register'!B:C,2,FALSE),"NOT registered"))</f>
        <v/>
      </c>
      <c r="E443" s="5"/>
      <c r="F443" s="6"/>
      <c r="G443" s="5"/>
      <c r="H443" s="5" t="str">
        <f ca="1">IFERROR(VLOOKUP(C443,'Calibrated Tools Register'!B:M,12,FALSE)-TODAY(),"")</f>
        <v/>
      </c>
      <c r="I443" s="3" t="str">
        <f t="shared" ca="1" si="13"/>
        <v/>
      </c>
      <c r="J443" s="5"/>
      <c r="K443" s="6"/>
      <c r="L443" s="5"/>
      <c r="M443" s="6"/>
      <c r="N443" s="6"/>
      <c r="O443" s="6"/>
    </row>
    <row r="444" spans="1:15">
      <c r="A444" s="3" t="str">
        <f t="shared" si="12"/>
        <v/>
      </c>
      <c r="B444" s="3"/>
      <c r="C444" s="22"/>
      <c r="D444" s="4" t="str">
        <f>IF(C444="","",IFERROR(VLOOKUP(C444,'Calibrated Tools Register'!B:C,2,FALSE),"NOT registered"))</f>
        <v/>
      </c>
      <c r="E444" s="3"/>
      <c r="F444" s="4"/>
      <c r="G444" s="3"/>
      <c r="H444" s="3" t="str">
        <f ca="1">IFERROR(VLOOKUP(C444,'Calibrated Tools Register'!B:M,12,FALSE)-TODAY(),"")</f>
        <v/>
      </c>
      <c r="I444" s="3" t="str">
        <f t="shared" ca="1" si="13"/>
        <v/>
      </c>
      <c r="J444" s="3"/>
      <c r="K444" s="4"/>
      <c r="L444" s="3"/>
      <c r="M444" s="4"/>
      <c r="N444" s="4"/>
      <c r="O444" s="4"/>
    </row>
    <row r="445" spans="1:15">
      <c r="A445" s="3" t="str">
        <f t="shared" si="12"/>
        <v/>
      </c>
      <c r="B445" s="5"/>
      <c r="C445" s="23"/>
      <c r="D445" s="4" t="str">
        <f>IF(C445="","",IFERROR(VLOOKUP(C445,'Calibrated Tools Register'!B:C,2,FALSE),"NOT registered"))</f>
        <v/>
      </c>
      <c r="E445" s="5"/>
      <c r="F445" s="6"/>
      <c r="G445" s="5"/>
      <c r="H445" s="5" t="str">
        <f ca="1">IFERROR(VLOOKUP(C445,'Calibrated Tools Register'!B:M,12,FALSE)-TODAY(),"")</f>
        <v/>
      </c>
      <c r="I445" s="3" t="str">
        <f t="shared" ca="1" si="13"/>
        <v/>
      </c>
      <c r="J445" s="5"/>
      <c r="K445" s="6"/>
      <c r="L445" s="5"/>
      <c r="M445" s="6"/>
      <c r="N445" s="6"/>
      <c r="O445" s="6"/>
    </row>
    <row r="446" spans="1:15">
      <c r="A446" s="3" t="str">
        <f t="shared" si="12"/>
        <v/>
      </c>
      <c r="B446" s="3"/>
      <c r="C446" s="22"/>
      <c r="D446" s="4" t="str">
        <f>IF(C446="","",IFERROR(VLOOKUP(C446,'Calibrated Tools Register'!B:C,2,FALSE),"NOT registered"))</f>
        <v/>
      </c>
      <c r="E446" s="3"/>
      <c r="F446" s="4"/>
      <c r="G446" s="3"/>
      <c r="H446" s="3" t="str">
        <f ca="1">IFERROR(VLOOKUP(C446,'Calibrated Tools Register'!B:M,12,FALSE)-TODAY(),"")</f>
        <v/>
      </c>
      <c r="I446" s="3" t="str">
        <f t="shared" ca="1" si="13"/>
        <v/>
      </c>
      <c r="J446" s="3"/>
      <c r="K446" s="4"/>
      <c r="L446" s="3"/>
      <c r="M446" s="4"/>
      <c r="N446" s="4"/>
      <c r="O446" s="4"/>
    </row>
    <row r="447" spans="1:15">
      <c r="A447" s="3" t="str">
        <f t="shared" si="12"/>
        <v/>
      </c>
      <c r="B447" s="5"/>
      <c r="C447" s="23"/>
      <c r="D447" s="4" t="str">
        <f>IF(C447="","",IFERROR(VLOOKUP(C447,'Calibrated Tools Register'!B:C,2,FALSE),"NOT registered"))</f>
        <v/>
      </c>
      <c r="E447" s="5"/>
      <c r="F447" s="6"/>
      <c r="G447" s="5"/>
      <c r="H447" s="5" t="str">
        <f ca="1">IFERROR(VLOOKUP(C447,'Calibrated Tools Register'!B:M,12,FALSE)-TODAY(),"")</f>
        <v/>
      </c>
      <c r="I447" s="3" t="str">
        <f t="shared" ca="1" si="13"/>
        <v/>
      </c>
      <c r="J447" s="5"/>
      <c r="K447" s="6"/>
      <c r="L447" s="5"/>
      <c r="M447" s="6"/>
      <c r="N447" s="6"/>
      <c r="O447" s="6"/>
    </row>
    <row r="448" spans="1:15">
      <c r="A448" s="3" t="str">
        <f t="shared" si="12"/>
        <v/>
      </c>
      <c r="B448" s="3"/>
      <c r="C448" s="22"/>
      <c r="D448" s="4" t="str">
        <f>IF(C448="","",IFERROR(VLOOKUP(C448,'Calibrated Tools Register'!B:C,2,FALSE),"NOT registered"))</f>
        <v/>
      </c>
      <c r="E448" s="3"/>
      <c r="F448" s="4"/>
      <c r="G448" s="3"/>
      <c r="H448" s="3" t="str">
        <f ca="1">IFERROR(VLOOKUP(C448,'Calibrated Tools Register'!B:M,12,FALSE)-TODAY(),"")</f>
        <v/>
      </c>
      <c r="I448" s="3" t="str">
        <f t="shared" ca="1" si="13"/>
        <v/>
      </c>
      <c r="J448" s="3"/>
      <c r="K448" s="4"/>
      <c r="L448" s="3"/>
      <c r="M448" s="4"/>
      <c r="N448" s="4"/>
      <c r="O448" s="4"/>
    </row>
    <row r="449" spans="1:15">
      <c r="A449" s="3" t="str">
        <f t="shared" si="12"/>
        <v/>
      </c>
      <c r="B449" s="5"/>
      <c r="C449" s="23"/>
      <c r="D449" s="4" t="str">
        <f>IF(C449="","",IFERROR(VLOOKUP(C449,'Calibrated Tools Register'!B:C,2,FALSE),"NOT registered"))</f>
        <v/>
      </c>
      <c r="E449" s="5"/>
      <c r="F449" s="6"/>
      <c r="G449" s="5"/>
      <c r="H449" s="5" t="str">
        <f ca="1">IFERROR(VLOOKUP(C449,'Calibrated Tools Register'!B:M,12,FALSE)-TODAY(),"")</f>
        <v/>
      </c>
      <c r="I449" s="3" t="str">
        <f t="shared" ca="1" si="13"/>
        <v/>
      </c>
      <c r="J449" s="5"/>
      <c r="K449" s="6"/>
      <c r="L449" s="5"/>
      <c r="M449" s="6"/>
      <c r="N449" s="6"/>
      <c r="O449" s="6"/>
    </row>
    <row r="450" spans="1:15">
      <c r="A450" s="3" t="str">
        <f t="shared" si="12"/>
        <v/>
      </c>
      <c r="B450" s="3"/>
      <c r="C450" s="22"/>
      <c r="D450" s="4" t="str">
        <f>IF(C450="","",IFERROR(VLOOKUP(C450,'Calibrated Tools Register'!B:C,2,FALSE),"NOT registered"))</f>
        <v/>
      </c>
      <c r="E450" s="3"/>
      <c r="F450" s="4"/>
      <c r="G450" s="3"/>
      <c r="H450" s="3" t="str">
        <f ca="1">IFERROR(VLOOKUP(C450,'Calibrated Tools Register'!B:M,12,FALSE)-TODAY(),"")</f>
        <v/>
      </c>
      <c r="I450" s="3" t="str">
        <f t="shared" ca="1" si="13"/>
        <v/>
      </c>
      <c r="J450" s="3"/>
      <c r="K450" s="4"/>
      <c r="L450" s="3"/>
      <c r="M450" s="4"/>
      <c r="N450" s="4"/>
      <c r="O450" s="4"/>
    </row>
    <row r="451" spans="1:15">
      <c r="A451" s="3" t="str">
        <f t="shared" si="12"/>
        <v/>
      </c>
      <c r="B451" s="5"/>
      <c r="C451" s="23"/>
      <c r="D451" s="4" t="str">
        <f>IF(C451="","",IFERROR(VLOOKUP(C451,'Calibrated Tools Register'!B:C,2,FALSE),"NOT registered"))</f>
        <v/>
      </c>
      <c r="E451" s="5"/>
      <c r="F451" s="6"/>
      <c r="G451" s="5"/>
      <c r="H451" s="5" t="str">
        <f ca="1">IFERROR(VLOOKUP(C451,'Calibrated Tools Register'!B:M,12,FALSE)-TODAY(),"")</f>
        <v/>
      </c>
      <c r="I451" s="3" t="str">
        <f t="shared" ca="1" si="13"/>
        <v/>
      </c>
      <c r="J451" s="5"/>
      <c r="K451" s="6"/>
      <c r="L451" s="5"/>
      <c r="M451" s="6"/>
      <c r="N451" s="6"/>
      <c r="O451" s="6"/>
    </row>
    <row r="452" spans="1:15">
      <c r="A452" s="3" t="str">
        <f t="shared" ref="A452:A515" si="14">IF(C452="","",ROW(C452)-3)</f>
        <v/>
      </c>
      <c r="B452" s="3"/>
      <c r="C452" s="22"/>
      <c r="D452" s="4" t="str">
        <f>IF(C452="","",IFERROR(VLOOKUP(C452,'Calibrated Tools Register'!B:C,2,FALSE),"NOT registered"))</f>
        <v/>
      </c>
      <c r="E452" s="3"/>
      <c r="F452" s="4"/>
      <c r="G452" s="3"/>
      <c r="H452" s="3" t="str">
        <f ca="1">IFERROR(VLOOKUP(C452,'Calibrated Tools Register'!B:M,12,FALSE)-TODAY(),"")</f>
        <v/>
      </c>
      <c r="I452" s="3" t="str">
        <f t="shared" ca="1" si="13"/>
        <v/>
      </c>
      <c r="J452" s="3"/>
      <c r="K452" s="4"/>
      <c r="L452" s="3"/>
      <c r="M452" s="4"/>
      <c r="N452" s="4"/>
      <c r="O452" s="4"/>
    </row>
    <row r="453" spans="1:15">
      <c r="A453" s="3" t="str">
        <f t="shared" si="14"/>
        <v/>
      </c>
      <c r="B453" s="5"/>
      <c r="C453" s="23"/>
      <c r="D453" s="4" t="str">
        <f>IF(C453="","",IFERROR(VLOOKUP(C453,'Calibrated Tools Register'!B:C,2,FALSE),"NOT registered"))</f>
        <v/>
      </c>
      <c r="E453" s="5"/>
      <c r="F453" s="6"/>
      <c r="G453" s="5"/>
      <c r="H453" s="5" t="str">
        <f ca="1">IFERROR(VLOOKUP(C453,'Calibrated Tools Register'!B:M,12,FALSE)-TODAY(),"")</f>
        <v/>
      </c>
      <c r="I453" s="3" t="str">
        <f t="shared" ref="I453:I516" ca="1" si="15">IF(H453="","",IF(H453&lt;=0,"Urgent",IF(H453&lt;=30,"High",IF(H453&lt;=45,"Medium","Low"))))</f>
        <v/>
      </c>
      <c r="J453" s="5"/>
      <c r="K453" s="6"/>
      <c r="L453" s="5"/>
      <c r="M453" s="6"/>
      <c r="N453" s="6"/>
      <c r="O453" s="6"/>
    </row>
    <row r="454" spans="1:15">
      <c r="A454" s="3" t="str">
        <f t="shared" si="14"/>
        <v/>
      </c>
      <c r="B454" s="3"/>
      <c r="C454" s="22"/>
      <c r="D454" s="4" t="str">
        <f>IF(C454="","",IFERROR(VLOOKUP(C454,'Calibrated Tools Register'!B:C,2,FALSE),"NOT registered"))</f>
        <v/>
      </c>
      <c r="E454" s="3"/>
      <c r="F454" s="4"/>
      <c r="G454" s="3"/>
      <c r="H454" s="3" t="str">
        <f ca="1">IFERROR(VLOOKUP(C454,'Calibrated Tools Register'!B:M,12,FALSE)-TODAY(),"")</f>
        <v/>
      </c>
      <c r="I454" s="3" t="str">
        <f t="shared" ca="1" si="15"/>
        <v/>
      </c>
      <c r="J454" s="3"/>
      <c r="K454" s="4"/>
      <c r="L454" s="3"/>
      <c r="M454" s="4"/>
      <c r="N454" s="4"/>
      <c r="O454" s="4"/>
    </row>
    <row r="455" spans="1:15">
      <c r="A455" s="3" t="str">
        <f t="shared" si="14"/>
        <v/>
      </c>
      <c r="B455" s="5"/>
      <c r="C455" s="23"/>
      <c r="D455" s="4" t="str">
        <f>IF(C455="","",IFERROR(VLOOKUP(C455,'Calibrated Tools Register'!B:C,2,FALSE),"NOT registered"))</f>
        <v/>
      </c>
      <c r="E455" s="5"/>
      <c r="F455" s="6"/>
      <c r="G455" s="5"/>
      <c r="H455" s="5" t="str">
        <f ca="1">IFERROR(VLOOKUP(C455,'Calibrated Tools Register'!B:M,12,FALSE)-TODAY(),"")</f>
        <v/>
      </c>
      <c r="I455" s="3" t="str">
        <f t="shared" ca="1" si="15"/>
        <v/>
      </c>
      <c r="J455" s="5"/>
      <c r="K455" s="6"/>
      <c r="L455" s="5"/>
      <c r="M455" s="6"/>
      <c r="N455" s="6"/>
      <c r="O455" s="6"/>
    </row>
    <row r="456" spans="1:15">
      <c r="A456" s="3" t="str">
        <f t="shared" si="14"/>
        <v/>
      </c>
      <c r="B456" s="3"/>
      <c r="C456" s="22"/>
      <c r="D456" s="4" t="str">
        <f>IF(C456="","",IFERROR(VLOOKUP(C456,'Calibrated Tools Register'!B:C,2,FALSE),"NOT registered"))</f>
        <v/>
      </c>
      <c r="E456" s="3"/>
      <c r="F456" s="4"/>
      <c r="G456" s="3"/>
      <c r="H456" s="3" t="str">
        <f ca="1">IFERROR(VLOOKUP(C456,'Calibrated Tools Register'!B:M,12,FALSE)-TODAY(),"")</f>
        <v/>
      </c>
      <c r="I456" s="3" t="str">
        <f t="shared" ca="1" si="15"/>
        <v/>
      </c>
      <c r="J456" s="3"/>
      <c r="K456" s="4"/>
      <c r="L456" s="3"/>
      <c r="M456" s="4"/>
      <c r="N456" s="4"/>
      <c r="O456" s="4"/>
    </row>
    <row r="457" spans="1:15">
      <c r="A457" s="3" t="str">
        <f t="shared" si="14"/>
        <v/>
      </c>
      <c r="B457" s="5"/>
      <c r="C457" s="23"/>
      <c r="D457" s="4" t="str">
        <f>IF(C457="","",IFERROR(VLOOKUP(C457,'Calibrated Tools Register'!B:C,2,FALSE),"NOT registered"))</f>
        <v/>
      </c>
      <c r="E457" s="5"/>
      <c r="F457" s="6"/>
      <c r="G457" s="5"/>
      <c r="H457" s="5" t="str">
        <f ca="1">IFERROR(VLOOKUP(C457,'Calibrated Tools Register'!B:M,12,FALSE)-TODAY(),"")</f>
        <v/>
      </c>
      <c r="I457" s="3" t="str">
        <f t="shared" ca="1" si="15"/>
        <v/>
      </c>
      <c r="J457" s="5"/>
      <c r="K457" s="6"/>
      <c r="L457" s="5"/>
      <c r="M457" s="6"/>
      <c r="N457" s="6"/>
      <c r="O457" s="6"/>
    </row>
    <row r="458" spans="1:15">
      <c r="A458" s="3" t="str">
        <f t="shared" si="14"/>
        <v/>
      </c>
      <c r="B458" s="3"/>
      <c r="C458" s="22"/>
      <c r="D458" s="4" t="str">
        <f>IF(C458="","",IFERROR(VLOOKUP(C458,'Calibrated Tools Register'!B:C,2,FALSE),"NOT registered"))</f>
        <v/>
      </c>
      <c r="E458" s="3"/>
      <c r="F458" s="4"/>
      <c r="G458" s="3"/>
      <c r="H458" s="3" t="str">
        <f ca="1">IFERROR(VLOOKUP(C458,'Calibrated Tools Register'!B:M,12,FALSE)-TODAY(),"")</f>
        <v/>
      </c>
      <c r="I458" s="3" t="str">
        <f t="shared" ca="1" si="15"/>
        <v/>
      </c>
      <c r="J458" s="3"/>
      <c r="K458" s="4"/>
      <c r="L458" s="3"/>
      <c r="M458" s="4"/>
      <c r="N458" s="4"/>
      <c r="O458" s="4"/>
    </row>
    <row r="459" spans="1:15">
      <c r="A459" s="3" t="str">
        <f t="shared" si="14"/>
        <v/>
      </c>
      <c r="B459" s="5"/>
      <c r="C459" s="23"/>
      <c r="D459" s="4" t="str">
        <f>IF(C459="","",IFERROR(VLOOKUP(C459,'Calibrated Tools Register'!B:C,2,FALSE),"NOT registered"))</f>
        <v/>
      </c>
      <c r="E459" s="5"/>
      <c r="F459" s="6"/>
      <c r="G459" s="5"/>
      <c r="H459" s="5" t="str">
        <f ca="1">IFERROR(VLOOKUP(C459,'Calibrated Tools Register'!B:M,12,FALSE)-TODAY(),"")</f>
        <v/>
      </c>
      <c r="I459" s="3" t="str">
        <f t="shared" ca="1" si="15"/>
        <v/>
      </c>
      <c r="J459" s="5"/>
      <c r="K459" s="6"/>
      <c r="L459" s="5"/>
      <c r="M459" s="6"/>
      <c r="N459" s="6"/>
      <c r="O459" s="6"/>
    </row>
    <row r="460" spans="1:15">
      <c r="A460" s="3" t="str">
        <f t="shared" si="14"/>
        <v/>
      </c>
      <c r="B460" s="3"/>
      <c r="C460" s="22"/>
      <c r="D460" s="4" t="str">
        <f>IF(C460="","",IFERROR(VLOOKUP(C460,'Calibrated Tools Register'!B:C,2,FALSE),"NOT registered"))</f>
        <v/>
      </c>
      <c r="E460" s="3"/>
      <c r="F460" s="4"/>
      <c r="G460" s="3"/>
      <c r="H460" s="3" t="str">
        <f ca="1">IFERROR(VLOOKUP(C460,'Calibrated Tools Register'!B:M,12,FALSE)-TODAY(),"")</f>
        <v/>
      </c>
      <c r="I460" s="3" t="str">
        <f t="shared" ca="1" si="15"/>
        <v/>
      </c>
      <c r="J460" s="3"/>
      <c r="K460" s="4"/>
      <c r="L460" s="3"/>
      <c r="M460" s="4"/>
      <c r="N460" s="4"/>
      <c r="O460" s="4"/>
    </row>
    <row r="461" spans="1:15">
      <c r="A461" s="3" t="str">
        <f t="shared" si="14"/>
        <v/>
      </c>
      <c r="B461" s="5"/>
      <c r="C461" s="23"/>
      <c r="D461" s="4" t="str">
        <f>IF(C461="","",IFERROR(VLOOKUP(C461,'Calibrated Tools Register'!B:C,2,FALSE),"NOT registered"))</f>
        <v/>
      </c>
      <c r="E461" s="5"/>
      <c r="F461" s="6"/>
      <c r="G461" s="5"/>
      <c r="H461" s="5" t="str">
        <f ca="1">IFERROR(VLOOKUP(C461,'Calibrated Tools Register'!B:M,12,FALSE)-TODAY(),"")</f>
        <v/>
      </c>
      <c r="I461" s="3" t="str">
        <f t="shared" ca="1" si="15"/>
        <v/>
      </c>
      <c r="J461" s="5"/>
      <c r="K461" s="6"/>
      <c r="L461" s="5"/>
      <c r="M461" s="6"/>
      <c r="N461" s="6"/>
      <c r="O461" s="6"/>
    </row>
    <row r="462" spans="1:15">
      <c r="A462" s="3" t="str">
        <f t="shared" si="14"/>
        <v/>
      </c>
      <c r="B462" s="3"/>
      <c r="C462" s="22"/>
      <c r="D462" s="4" t="str">
        <f>IF(C462="","",IFERROR(VLOOKUP(C462,'Calibrated Tools Register'!B:C,2,FALSE),"NOT registered"))</f>
        <v/>
      </c>
      <c r="E462" s="3"/>
      <c r="F462" s="4"/>
      <c r="G462" s="3"/>
      <c r="H462" s="3" t="str">
        <f ca="1">IFERROR(VLOOKUP(C462,'Calibrated Tools Register'!B:M,12,FALSE)-TODAY(),"")</f>
        <v/>
      </c>
      <c r="I462" s="3" t="str">
        <f t="shared" ca="1" si="15"/>
        <v/>
      </c>
      <c r="J462" s="3"/>
      <c r="K462" s="4"/>
      <c r="L462" s="3"/>
      <c r="M462" s="4"/>
      <c r="N462" s="4"/>
      <c r="O462" s="4"/>
    </row>
    <row r="463" spans="1:15">
      <c r="A463" s="3" t="str">
        <f t="shared" si="14"/>
        <v/>
      </c>
      <c r="B463" s="5"/>
      <c r="C463" s="23"/>
      <c r="D463" s="4" t="str">
        <f>IF(C463="","",IFERROR(VLOOKUP(C463,'Calibrated Tools Register'!B:C,2,FALSE),"NOT registered"))</f>
        <v/>
      </c>
      <c r="E463" s="5"/>
      <c r="F463" s="6"/>
      <c r="G463" s="5"/>
      <c r="H463" s="5" t="str">
        <f ca="1">IFERROR(VLOOKUP(C463,'Calibrated Tools Register'!B:M,12,FALSE)-TODAY(),"")</f>
        <v/>
      </c>
      <c r="I463" s="3" t="str">
        <f t="shared" ca="1" si="15"/>
        <v/>
      </c>
      <c r="J463" s="5"/>
      <c r="K463" s="6"/>
      <c r="L463" s="5"/>
      <c r="M463" s="6"/>
      <c r="N463" s="6"/>
      <c r="O463" s="6"/>
    </row>
    <row r="464" spans="1:15">
      <c r="A464" s="3" t="str">
        <f t="shared" si="14"/>
        <v/>
      </c>
      <c r="B464" s="3"/>
      <c r="C464" s="22"/>
      <c r="D464" s="4" t="str">
        <f>IF(C464="","",IFERROR(VLOOKUP(C464,'Calibrated Tools Register'!B:C,2,FALSE),"NOT registered"))</f>
        <v/>
      </c>
      <c r="E464" s="3"/>
      <c r="F464" s="4"/>
      <c r="G464" s="3"/>
      <c r="H464" s="3" t="str">
        <f ca="1">IFERROR(VLOOKUP(C464,'Calibrated Tools Register'!B:M,12,FALSE)-TODAY(),"")</f>
        <v/>
      </c>
      <c r="I464" s="3" t="str">
        <f t="shared" ca="1" si="15"/>
        <v/>
      </c>
      <c r="J464" s="3"/>
      <c r="K464" s="4"/>
      <c r="L464" s="3"/>
      <c r="M464" s="4"/>
      <c r="N464" s="4"/>
      <c r="O464" s="4"/>
    </row>
    <row r="465" spans="1:15">
      <c r="A465" s="3" t="str">
        <f t="shared" si="14"/>
        <v/>
      </c>
      <c r="B465" s="5"/>
      <c r="C465" s="23"/>
      <c r="D465" s="4" t="str">
        <f>IF(C465="","",IFERROR(VLOOKUP(C465,'Calibrated Tools Register'!B:C,2,FALSE),"NOT registered"))</f>
        <v/>
      </c>
      <c r="E465" s="5"/>
      <c r="F465" s="6"/>
      <c r="G465" s="5"/>
      <c r="H465" s="5" t="str">
        <f ca="1">IFERROR(VLOOKUP(C465,'Calibrated Tools Register'!B:M,12,FALSE)-TODAY(),"")</f>
        <v/>
      </c>
      <c r="I465" s="3" t="str">
        <f t="shared" ca="1" si="15"/>
        <v/>
      </c>
      <c r="J465" s="5"/>
      <c r="K465" s="6"/>
      <c r="L465" s="5"/>
      <c r="M465" s="6"/>
      <c r="N465" s="6"/>
      <c r="O465" s="6"/>
    </row>
    <row r="466" spans="1:15">
      <c r="A466" s="3" t="str">
        <f t="shared" si="14"/>
        <v/>
      </c>
      <c r="B466" s="3"/>
      <c r="C466" s="22"/>
      <c r="D466" s="4" t="str">
        <f>IF(C466="","",IFERROR(VLOOKUP(C466,'Calibrated Tools Register'!B:C,2,FALSE),"NOT registered"))</f>
        <v/>
      </c>
      <c r="E466" s="3"/>
      <c r="F466" s="4"/>
      <c r="G466" s="3"/>
      <c r="H466" s="3" t="str">
        <f ca="1">IFERROR(VLOOKUP(C466,'Calibrated Tools Register'!B:M,12,FALSE)-TODAY(),"")</f>
        <v/>
      </c>
      <c r="I466" s="3" t="str">
        <f t="shared" ca="1" si="15"/>
        <v/>
      </c>
      <c r="J466" s="3"/>
      <c r="K466" s="4"/>
      <c r="L466" s="3"/>
      <c r="M466" s="4"/>
      <c r="N466" s="4"/>
      <c r="O466" s="4"/>
    </row>
    <row r="467" spans="1:15">
      <c r="A467" s="3" t="str">
        <f t="shared" si="14"/>
        <v/>
      </c>
      <c r="B467" s="5"/>
      <c r="C467" s="23"/>
      <c r="D467" s="4" t="str">
        <f>IF(C467="","",IFERROR(VLOOKUP(C467,'Calibrated Tools Register'!B:C,2,FALSE),"NOT registered"))</f>
        <v/>
      </c>
      <c r="E467" s="5"/>
      <c r="F467" s="6"/>
      <c r="G467" s="5"/>
      <c r="H467" s="5" t="str">
        <f ca="1">IFERROR(VLOOKUP(C467,'Calibrated Tools Register'!B:M,12,FALSE)-TODAY(),"")</f>
        <v/>
      </c>
      <c r="I467" s="3" t="str">
        <f t="shared" ca="1" si="15"/>
        <v/>
      </c>
      <c r="J467" s="5"/>
      <c r="K467" s="6"/>
      <c r="L467" s="5"/>
      <c r="M467" s="6"/>
      <c r="N467" s="6"/>
      <c r="O467" s="6"/>
    </row>
    <row r="468" spans="1:15">
      <c r="A468" s="3" t="str">
        <f t="shared" si="14"/>
        <v/>
      </c>
      <c r="B468" s="3"/>
      <c r="C468" s="22"/>
      <c r="D468" s="4" t="str">
        <f>IF(C468="","",IFERROR(VLOOKUP(C468,'Calibrated Tools Register'!B:C,2,FALSE),"NOT registered"))</f>
        <v/>
      </c>
      <c r="E468" s="3"/>
      <c r="F468" s="4"/>
      <c r="G468" s="3"/>
      <c r="H468" s="3" t="str">
        <f ca="1">IFERROR(VLOOKUP(C468,'Calibrated Tools Register'!B:M,12,FALSE)-TODAY(),"")</f>
        <v/>
      </c>
      <c r="I468" s="3" t="str">
        <f t="shared" ca="1" si="15"/>
        <v/>
      </c>
      <c r="J468" s="3"/>
      <c r="K468" s="4"/>
      <c r="L468" s="3"/>
      <c r="M468" s="4"/>
      <c r="N468" s="4"/>
      <c r="O468" s="4"/>
    </row>
    <row r="469" spans="1:15">
      <c r="A469" s="3" t="str">
        <f t="shared" si="14"/>
        <v/>
      </c>
      <c r="B469" s="5"/>
      <c r="C469" s="23"/>
      <c r="D469" s="4" t="str">
        <f>IF(C469="","",IFERROR(VLOOKUP(C469,'Calibrated Tools Register'!B:C,2,FALSE),"NOT registered"))</f>
        <v/>
      </c>
      <c r="E469" s="5"/>
      <c r="F469" s="6"/>
      <c r="G469" s="5"/>
      <c r="H469" s="5" t="str">
        <f ca="1">IFERROR(VLOOKUP(C469,'Calibrated Tools Register'!B:M,12,FALSE)-TODAY(),"")</f>
        <v/>
      </c>
      <c r="I469" s="3" t="str">
        <f t="shared" ca="1" si="15"/>
        <v/>
      </c>
      <c r="J469" s="5"/>
      <c r="K469" s="6"/>
      <c r="L469" s="5"/>
      <c r="M469" s="6"/>
      <c r="N469" s="6"/>
      <c r="O469" s="6"/>
    </row>
    <row r="470" spans="1:15">
      <c r="A470" s="3" t="str">
        <f t="shared" si="14"/>
        <v/>
      </c>
      <c r="B470" s="3"/>
      <c r="C470" s="22"/>
      <c r="D470" s="4" t="str">
        <f>IF(C470="","",IFERROR(VLOOKUP(C470,'Calibrated Tools Register'!B:C,2,FALSE),"NOT registered"))</f>
        <v/>
      </c>
      <c r="E470" s="3"/>
      <c r="F470" s="4"/>
      <c r="G470" s="3"/>
      <c r="H470" s="3" t="str">
        <f ca="1">IFERROR(VLOOKUP(C470,'Calibrated Tools Register'!B:M,12,FALSE)-TODAY(),"")</f>
        <v/>
      </c>
      <c r="I470" s="3" t="str">
        <f t="shared" ca="1" si="15"/>
        <v/>
      </c>
      <c r="J470" s="3"/>
      <c r="K470" s="4"/>
      <c r="L470" s="3"/>
      <c r="M470" s="4"/>
      <c r="N470" s="4"/>
      <c r="O470" s="4"/>
    </row>
    <row r="471" spans="1:15">
      <c r="A471" s="3" t="str">
        <f t="shared" si="14"/>
        <v/>
      </c>
      <c r="B471" s="5"/>
      <c r="C471" s="23"/>
      <c r="D471" s="4" t="str">
        <f>IF(C471="","",IFERROR(VLOOKUP(C471,'Calibrated Tools Register'!B:C,2,FALSE),"NOT registered"))</f>
        <v/>
      </c>
      <c r="E471" s="5"/>
      <c r="F471" s="6"/>
      <c r="G471" s="5"/>
      <c r="H471" s="5" t="str">
        <f ca="1">IFERROR(VLOOKUP(C471,'Calibrated Tools Register'!B:M,12,FALSE)-TODAY(),"")</f>
        <v/>
      </c>
      <c r="I471" s="3" t="str">
        <f t="shared" ca="1" si="15"/>
        <v/>
      </c>
      <c r="J471" s="5"/>
      <c r="K471" s="6"/>
      <c r="L471" s="5"/>
      <c r="M471" s="6"/>
      <c r="N471" s="6"/>
      <c r="O471" s="6"/>
    </row>
    <row r="472" spans="1:15">
      <c r="A472" s="3" t="str">
        <f t="shared" si="14"/>
        <v/>
      </c>
      <c r="B472" s="3"/>
      <c r="C472" s="22"/>
      <c r="D472" s="4" t="str">
        <f>IF(C472="","",IFERROR(VLOOKUP(C472,'Calibrated Tools Register'!B:C,2,FALSE),"NOT registered"))</f>
        <v/>
      </c>
      <c r="E472" s="3"/>
      <c r="F472" s="4"/>
      <c r="G472" s="3"/>
      <c r="H472" s="3" t="str">
        <f ca="1">IFERROR(VLOOKUP(C472,'Calibrated Tools Register'!B:M,12,FALSE)-TODAY(),"")</f>
        <v/>
      </c>
      <c r="I472" s="3" t="str">
        <f t="shared" ca="1" si="15"/>
        <v/>
      </c>
      <c r="J472" s="3"/>
      <c r="K472" s="4"/>
      <c r="L472" s="3"/>
      <c r="M472" s="4"/>
      <c r="N472" s="4"/>
      <c r="O472" s="4"/>
    </row>
    <row r="473" spans="1:15">
      <c r="A473" s="3" t="str">
        <f t="shared" si="14"/>
        <v/>
      </c>
      <c r="B473" s="5"/>
      <c r="C473" s="23"/>
      <c r="D473" s="4" t="str">
        <f>IF(C473="","",IFERROR(VLOOKUP(C473,'Calibrated Tools Register'!B:C,2,FALSE),"NOT registered"))</f>
        <v/>
      </c>
      <c r="E473" s="5"/>
      <c r="F473" s="6"/>
      <c r="G473" s="5"/>
      <c r="H473" s="5" t="str">
        <f ca="1">IFERROR(VLOOKUP(C473,'Calibrated Tools Register'!B:M,12,FALSE)-TODAY(),"")</f>
        <v/>
      </c>
      <c r="I473" s="3" t="str">
        <f t="shared" ca="1" si="15"/>
        <v/>
      </c>
      <c r="J473" s="5"/>
      <c r="K473" s="6"/>
      <c r="L473" s="5"/>
      <c r="M473" s="6"/>
      <c r="N473" s="6"/>
      <c r="O473" s="6"/>
    </row>
    <row r="474" spans="1:15">
      <c r="A474" s="3" t="str">
        <f t="shared" si="14"/>
        <v/>
      </c>
      <c r="B474" s="3"/>
      <c r="C474" s="22"/>
      <c r="D474" s="4" t="str">
        <f>IF(C474="","",IFERROR(VLOOKUP(C474,'Calibrated Tools Register'!B:C,2,FALSE),"NOT registered"))</f>
        <v/>
      </c>
      <c r="E474" s="3"/>
      <c r="F474" s="4"/>
      <c r="G474" s="3"/>
      <c r="H474" s="3" t="str">
        <f ca="1">IFERROR(VLOOKUP(C474,'Calibrated Tools Register'!B:M,12,FALSE)-TODAY(),"")</f>
        <v/>
      </c>
      <c r="I474" s="3" t="str">
        <f t="shared" ca="1" si="15"/>
        <v/>
      </c>
      <c r="J474" s="3"/>
      <c r="K474" s="4"/>
      <c r="L474" s="3"/>
      <c r="M474" s="4"/>
      <c r="N474" s="4"/>
      <c r="O474" s="4"/>
    </row>
    <row r="475" spans="1:15">
      <c r="A475" s="3" t="str">
        <f t="shared" si="14"/>
        <v/>
      </c>
      <c r="B475" s="5"/>
      <c r="C475" s="23"/>
      <c r="D475" s="4" t="str">
        <f>IF(C475="","",IFERROR(VLOOKUP(C475,'Calibrated Tools Register'!B:C,2,FALSE),"NOT registered"))</f>
        <v/>
      </c>
      <c r="E475" s="5"/>
      <c r="F475" s="6"/>
      <c r="G475" s="5"/>
      <c r="H475" s="5" t="str">
        <f ca="1">IFERROR(VLOOKUP(C475,'Calibrated Tools Register'!B:M,12,FALSE)-TODAY(),"")</f>
        <v/>
      </c>
      <c r="I475" s="3" t="str">
        <f t="shared" ca="1" si="15"/>
        <v/>
      </c>
      <c r="J475" s="5"/>
      <c r="K475" s="6"/>
      <c r="L475" s="5"/>
      <c r="M475" s="6"/>
      <c r="N475" s="6"/>
      <c r="O475" s="6"/>
    </row>
    <row r="476" spans="1:15">
      <c r="A476" s="3" t="str">
        <f t="shared" si="14"/>
        <v/>
      </c>
      <c r="B476" s="3"/>
      <c r="C476" s="22"/>
      <c r="D476" s="4" t="str">
        <f>IF(C476="","",IFERROR(VLOOKUP(C476,'Calibrated Tools Register'!B:C,2,FALSE),"NOT registered"))</f>
        <v/>
      </c>
      <c r="E476" s="3"/>
      <c r="F476" s="4"/>
      <c r="G476" s="3"/>
      <c r="H476" s="3" t="str">
        <f ca="1">IFERROR(VLOOKUP(C476,'Calibrated Tools Register'!B:M,12,FALSE)-TODAY(),"")</f>
        <v/>
      </c>
      <c r="I476" s="3" t="str">
        <f t="shared" ca="1" si="15"/>
        <v/>
      </c>
      <c r="J476" s="3"/>
      <c r="K476" s="4"/>
      <c r="L476" s="3"/>
      <c r="M476" s="4"/>
      <c r="N476" s="4"/>
      <c r="O476" s="4"/>
    </row>
    <row r="477" spans="1:15">
      <c r="A477" s="3" t="str">
        <f t="shared" si="14"/>
        <v/>
      </c>
      <c r="B477" s="5"/>
      <c r="C477" s="23"/>
      <c r="D477" s="4" t="str">
        <f>IF(C477="","",IFERROR(VLOOKUP(C477,'Calibrated Tools Register'!B:C,2,FALSE),"NOT registered"))</f>
        <v/>
      </c>
      <c r="E477" s="5"/>
      <c r="F477" s="6"/>
      <c r="G477" s="5"/>
      <c r="H477" s="5" t="str">
        <f ca="1">IFERROR(VLOOKUP(C477,'Calibrated Tools Register'!B:M,12,FALSE)-TODAY(),"")</f>
        <v/>
      </c>
      <c r="I477" s="3" t="str">
        <f t="shared" ca="1" si="15"/>
        <v/>
      </c>
      <c r="J477" s="5"/>
      <c r="K477" s="6"/>
      <c r="L477" s="5"/>
      <c r="M477" s="6"/>
      <c r="N477" s="6"/>
      <c r="O477" s="6"/>
    </row>
    <row r="478" spans="1:15">
      <c r="A478" s="3" t="str">
        <f t="shared" si="14"/>
        <v/>
      </c>
      <c r="B478" s="3"/>
      <c r="C478" s="22"/>
      <c r="D478" s="4" t="str">
        <f>IF(C478="","",IFERROR(VLOOKUP(C478,'Calibrated Tools Register'!B:C,2,FALSE),"NOT registered"))</f>
        <v/>
      </c>
      <c r="E478" s="3"/>
      <c r="F478" s="4"/>
      <c r="G478" s="3"/>
      <c r="H478" s="3" t="str">
        <f ca="1">IFERROR(VLOOKUP(C478,'Calibrated Tools Register'!B:M,12,FALSE)-TODAY(),"")</f>
        <v/>
      </c>
      <c r="I478" s="3" t="str">
        <f t="shared" ca="1" si="15"/>
        <v/>
      </c>
      <c r="J478" s="3"/>
      <c r="K478" s="4"/>
      <c r="L478" s="3"/>
      <c r="M478" s="4"/>
      <c r="N478" s="4"/>
      <c r="O478" s="4"/>
    </row>
    <row r="479" spans="1:15">
      <c r="A479" s="3" t="str">
        <f t="shared" si="14"/>
        <v/>
      </c>
      <c r="B479" s="5"/>
      <c r="C479" s="23"/>
      <c r="D479" s="4" t="str">
        <f>IF(C479="","",IFERROR(VLOOKUP(C479,'Calibrated Tools Register'!B:C,2,FALSE),"NOT registered"))</f>
        <v/>
      </c>
      <c r="E479" s="5"/>
      <c r="F479" s="6"/>
      <c r="G479" s="5"/>
      <c r="H479" s="5" t="str">
        <f ca="1">IFERROR(VLOOKUP(C479,'Calibrated Tools Register'!B:M,12,FALSE)-TODAY(),"")</f>
        <v/>
      </c>
      <c r="I479" s="3" t="str">
        <f t="shared" ca="1" si="15"/>
        <v/>
      </c>
      <c r="J479" s="5"/>
      <c r="K479" s="6"/>
      <c r="L479" s="5"/>
      <c r="M479" s="6"/>
      <c r="N479" s="6"/>
      <c r="O479" s="6"/>
    </row>
    <row r="480" spans="1:15">
      <c r="A480" s="3" t="str">
        <f t="shared" si="14"/>
        <v/>
      </c>
      <c r="B480" s="3"/>
      <c r="C480" s="22"/>
      <c r="D480" s="4" t="str">
        <f>IF(C480="","",IFERROR(VLOOKUP(C480,'Calibrated Tools Register'!B:C,2,FALSE),"NOT registered"))</f>
        <v/>
      </c>
      <c r="E480" s="3"/>
      <c r="F480" s="4"/>
      <c r="G480" s="3"/>
      <c r="H480" s="3" t="str">
        <f ca="1">IFERROR(VLOOKUP(C480,'Calibrated Tools Register'!B:M,12,FALSE)-TODAY(),"")</f>
        <v/>
      </c>
      <c r="I480" s="3" t="str">
        <f t="shared" ca="1" si="15"/>
        <v/>
      </c>
      <c r="J480" s="3"/>
      <c r="K480" s="4"/>
      <c r="L480" s="3"/>
      <c r="M480" s="4"/>
      <c r="N480" s="4"/>
      <c r="O480" s="4"/>
    </row>
    <row r="481" spans="1:15">
      <c r="A481" s="3" t="str">
        <f t="shared" si="14"/>
        <v/>
      </c>
      <c r="B481" s="5"/>
      <c r="C481" s="23"/>
      <c r="D481" s="4" t="str">
        <f>IF(C481="","",IFERROR(VLOOKUP(C481,'Calibrated Tools Register'!B:C,2,FALSE),"NOT registered"))</f>
        <v/>
      </c>
      <c r="E481" s="5"/>
      <c r="F481" s="6"/>
      <c r="G481" s="5"/>
      <c r="H481" s="5" t="str">
        <f ca="1">IFERROR(VLOOKUP(C481,'Calibrated Tools Register'!B:M,12,FALSE)-TODAY(),"")</f>
        <v/>
      </c>
      <c r="I481" s="3" t="str">
        <f t="shared" ca="1" si="15"/>
        <v/>
      </c>
      <c r="J481" s="5"/>
      <c r="K481" s="6"/>
      <c r="L481" s="5"/>
      <c r="M481" s="6"/>
      <c r="N481" s="6"/>
      <c r="O481" s="6"/>
    </row>
    <row r="482" spans="1:15">
      <c r="A482" s="3" t="str">
        <f t="shared" si="14"/>
        <v/>
      </c>
      <c r="B482" s="3"/>
      <c r="C482" s="22"/>
      <c r="D482" s="4" t="str">
        <f>IF(C482="","",IFERROR(VLOOKUP(C482,'Calibrated Tools Register'!B:C,2,FALSE),"NOT registered"))</f>
        <v/>
      </c>
      <c r="E482" s="3"/>
      <c r="F482" s="4"/>
      <c r="G482" s="3"/>
      <c r="H482" s="3" t="str">
        <f ca="1">IFERROR(VLOOKUP(C482,'Calibrated Tools Register'!B:M,12,FALSE)-TODAY(),"")</f>
        <v/>
      </c>
      <c r="I482" s="3" t="str">
        <f t="shared" ca="1" si="15"/>
        <v/>
      </c>
      <c r="J482" s="3"/>
      <c r="K482" s="4"/>
      <c r="L482" s="3"/>
      <c r="M482" s="4"/>
      <c r="N482" s="4"/>
      <c r="O482" s="4"/>
    </row>
    <row r="483" spans="1:15">
      <c r="A483" s="3" t="str">
        <f t="shared" si="14"/>
        <v/>
      </c>
      <c r="B483" s="5"/>
      <c r="C483" s="23"/>
      <c r="D483" s="4" t="str">
        <f>IF(C483="","",IFERROR(VLOOKUP(C483,'Calibrated Tools Register'!B:C,2,FALSE),"NOT registered"))</f>
        <v/>
      </c>
      <c r="E483" s="5"/>
      <c r="F483" s="6"/>
      <c r="G483" s="5"/>
      <c r="H483" s="5" t="str">
        <f ca="1">IFERROR(VLOOKUP(C483,'Calibrated Tools Register'!B:M,12,FALSE)-TODAY(),"")</f>
        <v/>
      </c>
      <c r="I483" s="3" t="str">
        <f t="shared" ca="1" si="15"/>
        <v/>
      </c>
      <c r="J483" s="5"/>
      <c r="K483" s="6"/>
      <c r="L483" s="5"/>
      <c r="M483" s="6"/>
      <c r="N483" s="6"/>
      <c r="O483" s="6"/>
    </row>
    <row r="484" spans="1:15">
      <c r="A484" s="3" t="str">
        <f t="shared" si="14"/>
        <v/>
      </c>
      <c r="B484" s="3"/>
      <c r="C484" s="22"/>
      <c r="D484" s="4" t="str">
        <f>IF(C484="","",IFERROR(VLOOKUP(C484,'Calibrated Tools Register'!B:C,2,FALSE),"NOT registered"))</f>
        <v/>
      </c>
      <c r="E484" s="3"/>
      <c r="F484" s="4"/>
      <c r="G484" s="3"/>
      <c r="H484" s="3" t="str">
        <f ca="1">IFERROR(VLOOKUP(C484,'Calibrated Tools Register'!B:M,12,FALSE)-TODAY(),"")</f>
        <v/>
      </c>
      <c r="I484" s="3" t="str">
        <f t="shared" ca="1" si="15"/>
        <v/>
      </c>
      <c r="J484" s="3"/>
      <c r="K484" s="4"/>
      <c r="L484" s="3"/>
      <c r="M484" s="4"/>
      <c r="N484" s="4"/>
      <c r="O484" s="4"/>
    </row>
    <row r="485" spans="1:15">
      <c r="A485" s="3" t="str">
        <f t="shared" si="14"/>
        <v/>
      </c>
      <c r="B485" s="5"/>
      <c r="C485" s="23"/>
      <c r="D485" s="4" t="str">
        <f>IF(C485="","",IFERROR(VLOOKUP(C485,'Calibrated Tools Register'!B:C,2,FALSE),"NOT registered"))</f>
        <v/>
      </c>
      <c r="E485" s="5"/>
      <c r="F485" s="6"/>
      <c r="G485" s="5"/>
      <c r="H485" s="5" t="str">
        <f ca="1">IFERROR(VLOOKUP(C485,'Calibrated Tools Register'!B:M,12,FALSE)-TODAY(),"")</f>
        <v/>
      </c>
      <c r="I485" s="3" t="str">
        <f t="shared" ca="1" si="15"/>
        <v/>
      </c>
      <c r="J485" s="5"/>
      <c r="K485" s="6"/>
      <c r="L485" s="5"/>
      <c r="M485" s="6"/>
      <c r="N485" s="6"/>
      <c r="O485" s="6"/>
    </row>
    <row r="486" spans="1:15">
      <c r="A486" s="3" t="str">
        <f t="shared" si="14"/>
        <v/>
      </c>
      <c r="B486" s="3"/>
      <c r="C486" s="22"/>
      <c r="D486" s="4" t="str">
        <f>IF(C486="","",IFERROR(VLOOKUP(C486,'Calibrated Tools Register'!B:C,2,FALSE),"NOT registered"))</f>
        <v/>
      </c>
      <c r="E486" s="3"/>
      <c r="F486" s="4"/>
      <c r="G486" s="3"/>
      <c r="H486" s="3" t="str">
        <f ca="1">IFERROR(VLOOKUP(C486,'Calibrated Tools Register'!B:M,12,FALSE)-TODAY(),"")</f>
        <v/>
      </c>
      <c r="I486" s="3" t="str">
        <f t="shared" ca="1" si="15"/>
        <v/>
      </c>
      <c r="J486" s="3"/>
      <c r="K486" s="4"/>
      <c r="L486" s="3"/>
      <c r="M486" s="4"/>
      <c r="N486" s="4"/>
      <c r="O486" s="4"/>
    </row>
    <row r="487" spans="1:15">
      <c r="A487" s="3" t="str">
        <f t="shared" si="14"/>
        <v/>
      </c>
      <c r="B487" s="5"/>
      <c r="C487" s="23"/>
      <c r="D487" s="4" t="str">
        <f>IF(C487="","",IFERROR(VLOOKUP(C487,'Calibrated Tools Register'!B:C,2,FALSE),"NOT registered"))</f>
        <v/>
      </c>
      <c r="E487" s="5"/>
      <c r="F487" s="6"/>
      <c r="G487" s="5"/>
      <c r="H487" s="5" t="str">
        <f ca="1">IFERROR(VLOOKUP(C487,'Calibrated Tools Register'!B:M,12,FALSE)-TODAY(),"")</f>
        <v/>
      </c>
      <c r="I487" s="3" t="str">
        <f t="shared" ca="1" si="15"/>
        <v/>
      </c>
      <c r="J487" s="5"/>
      <c r="K487" s="6"/>
      <c r="L487" s="5"/>
      <c r="M487" s="6"/>
      <c r="N487" s="6"/>
      <c r="O487" s="6"/>
    </row>
    <row r="488" spans="1:15">
      <c r="A488" s="3" t="str">
        <f t="shared" si="14"/>
        <v/>
      </c>
      <c r="B488" s="3"/>
      <c r="C488" s="22"/>
      <c r="D488" s="4" t="str">
        <f>IF(C488="","",IFERROR(VLOOKUP(C488,'Calibrated Tools Register'!B:C,2,FALSE),"NOT registered"))</f>
        <v/>
      </c>
      <c r="E488" s="3"/>
      <c r="F488" s="4"/>
      <c r="G488" s="3"/>
      <c r="H488" s="3" t="str">
        <f ca="1">IFERROR(VLOOKUP(C488,'Calibrated Tools Register'!B:M,12,FALSE)-TODAY(),"")</f>
        <v/>
      </c>
      <c r="I488" s="3" t="str">
        <f t="shared" ca="1" si="15"/>
        <v/>
      </c>
      <c r="J488" s="3"/>
      <c r="K488" s="4"/>
      <c r="L488" s="3"/>
      <c r="M488" s="4"/>
      <c r="N488" s="4"/>
      <c r="O488" s="4"/>
    </row>
    <row r="489" spans="1:15">
      <c r="A489" s="3" t="str">
        <f t="shared" si="14"/>
        <v/>
      </c>
      <c r="B489" s="5"/>
      <c r="C489" s="23"/>
      <c r="D489" s="4" t="str">
        <f>IF(C489="","",IFERROR(VLOOKUP(C489,'Calibrated Tools Register'!B:C,2,FALSE),"NOT registered"))</f>
        <v/>
      </c>
      <c r="E489" s="5"/>
      <c r="F489" s="6"/>
      <c r="G489" s="5"/>
      <c r="H489" s="5" t="str">
        <f ca="1">IFERROR(VLOOKUP(C489,'Calibrated Tools Register'!B:M,12,FALSE)-TODAY(),"")</f>
        <v/>
      </c>
      <c r="I489" s="3" t="str">
        <f t="shared" ca="1" si="15"/>
        <v/>
      </c>
      <c r="J489" s="5"/>
      <c r="K489" s="6"/>
      <c r="L489" s="5"/>
      <c r="M489" s="6"/>
      <c r="N489" s="6"/>
      <c r="O489" s="6"/>
    </row>
    <row r="490" spans="1:15">
      <c r="A490" s="3" t="str">
        <f t="shared" si="14"/>
        <v/>
      </c>
      <c r="B490" s="3"/>
      <c r="C490" s="22"/>
      <c r="D490" s="4" t="str">
        <f>IF(C490="","",IFERROR(VLOOKUP(C490,'Calibrated Tools Register'!B:C,2,FALSE),"NOT registered"))</f>
        <v/>
      </c>
      <c r="E490" s="3"/>
      <c r="F490" s="4"/>
      <c r="G490" s="3"/>
      <c r="H490" s="3" t="str">
        <f ca="1">IFERROR(VLOOKUP(C490,'Calibrated Tools Register'!B:M,12,FALSE)-TODAY(),"")</f>
        <v/>
      </c>
      <c r="I490" s="3" t="str">
        <f t="shared" ca="1" si="15"/>
        <v/>
      </c>
      <c r="J490" s="3"/>
      <c r="K490" s="4"/>
      <c r="L490" s="3"/>
      <c r="M490" s="4"/>
      <c r="N490" s="4"/>
      <c r="O490" s="4"/>
    </row>
    <row r="491" spans="1:15">
      <c r="A491" s="3" t="str">
        <f t="shared" si="14"/>
        <v/>
      </c>
      <c r="B491" s="5"/>
      <c r="C491" s="23"/>
      <c r="D491" s="4" t="str">
        <f>IF(C491="","",IFERROR(VLOOKUP(C491,'Calibrated Tools Register'!B:C,2,FALSE),"NOT registered"))</f>
        <v/>
      </c>
      <c r="E491" s="5"/>
      <c r="F491" s="6"/>
      <c r="G491" s="5"/>
      <c r="H491" s="5" t="str">
        <f ca="1">IFERROR(VLOOKUP(C491,'Calibrated Tools Register'!B:M,12,FALSE)-TODAY(),"")</f>
        <v/>
      </c>
      <c r="I491" s="3" t="str">
        <f t="shared" ca="1" si="15"/>
        <v/>
      </c>
      <c r="J491" s="5"/>
      <c r="K491" s="6"/>
      <c r="L491" s="5"/>
      <c r="M491" s="6"/>
      <c r="N491" s="6"/>
      <c r="O491" s="6"/>
    </row>
    <row r="492" spans="1:15">
      <c r="A492" s="3" t="str">
        <f t="shared" si="14"/>
        <v/>
      </c>
      <c r="B492" s="3"/>
      <c r="C492" s="22"/>
      <c r="D492" s="4" t="str">
        <f>IF(C492="","",IFERROR(VLOOKUP(C492,'Calibrated Tools Register'!B:C,2,FALSE),"NOT registered"))</f>
        <v/>
      </c>
      <c r="E492" s="3"/>
      <c r="F492" s="4"/>
      <c r="G492" s="3"/>
      <c r="H492" s="3" t="str">
        <f ca="1">IFERROR(VLOOKUP(C492,'Calibrated Tools Register'!B:M,12,FALSE)-TODAY(),"")</f>
        <v/>
      </c>
      <c r="I492" s="3" t="str">
        <f t="shared" ca="1" si="15"/>
        <v/>
      </c>
      <c r="J492" s="3"/>
      <c r="K492" s="4"/>
      <c r="L492" s="3"/>
      <c r="M492" s="4"/>
      <c r="N492" s="4"/>
      <c r="O492" s="4"/>
    </row>
    <row r="493" spans="1:15">
      <c r="A493" s="3" t="str">
        <f t="shared" si="14"/>
        <v/>
      </c>
      <c r="B493" s="5"/>
      <c r="C493" s="23"/>
      <c r="D493" s="4" t="str">
        <f>IF(C493="","",IFERROR(VLOOKUP(C493,'Calibrated Tools Register'!B:C,2,FALSE),"NOT registered"))</f>
        <v/>
      </c>
      <c r="E493" s="5"/>
      <c r="F493" s="6"/>
      <c r="G493" s="5"/>
      <c r="H493" s="5" t="str">
        <f ca="1">IFERROR(VLOOKUP(C493,'Calibrated Tools Register'!B:M,12,FALSE)-TODAY(),"")</f>
        <v/>
      </c>
      <c r="I493" s="3" t="str">
        <f t="shared" ca="1" si="15"/>
        <v/>
      </c>
      <c r="J493" s="5"/>
      <c r="K493" s="6"/>
      <c r="L493" s="5"/>
      <c r="M493" s="6"/>
      <c r="N493" s="6"/>
      <c r="O493" s="6"/>
    </row>
    <row r="494" spans="1:15">
      <c r="A494" s="3" t="str">
        <f t="shared" si="14"/>
        <v/>
      </c>
      <c r="B494" s="3"/>
      <c r="C494" s="22"/>
      <c r="D494" s="4" t="str">
        <f>IF(C494="","",IFERROR(VLOOKUP(C494,'Calibrated Tools Register'!B:C,2,FALSE),"NOT registered"))</f>
        <v/>
      </c>
      <c r="E494" s="3"/>
      <c r="F494" s="4"/>
      <c r="G494" s="3"/>
      <c r="H494" s="3" t="str">
        <f ca="1">IFERROR(VLOOKUP(C494,'Calibrated Tools Register'!B:M,12,FALSE)-TODAY(),"")</f>
        <v/>
      </c>
      <c r="I494" s="3" t="str">
        <f t="shared" ca="1" si="15"/>
        <v/>
      </c>
      <c r="J494" s="3"/>
      <c r="K494" s="4"/>
      <c r="L494" s="3"/>
      <c r="M494" s="4"/>
      <c r="N494" s="4"/>
      <c r="O494" s="4"/>
    </row>
    <row r="495" spans="1:15">
      <c r="A495" s="3" t="str">
        <f t="shared" si="14"/>
        <v/>
      </c>
      <c r="B495" s="5"/>
      <c r="C495" s="23"/>
      <c r="D495" s="4" t="str">
        <f>IF(C495="","",IFERROR(VLOOKUP(C495,'Calibrated Tools Register'!B:C,2,FALSE),"NOT registered"))</f>
        <v/>
      </c>
      <c r="E495" s="5"/>
      <c r="F495" s="6"/>
      <c r="G495" s="5"/>
      <c r="H495" s="5" t="str">
        <f ca="1">IFERROR(VLOOKUP(C495,'Calibrated Tools Register'!B:M,12,FALSE)-TODAY(),"")</f>
        <v/>
      </c>
      <c r="I495" s="3" t="str">
        <f t="shared" ca="1" si="15"/>
        <v/>
      </c>
      <c r="J495" s="5"/>
      <c r="K495" s="6"/>
      <c r="L495" s="5"/>
      <c r="M495" s="6"/>
      <c r="N495" s="6"/>
      <c r="O495" s="6"/>
    </row>
    <row r="496" spans="1:15">
      <c r="A496" s="3" t="str">
        <f t="shared" si="14"/>
        <v/>
      </c>
      <c r="B496" s="3"/>
      <c r="C496" s="22"/>
      <c r="D496" s="4" t="str">
        <f>IF(C496="","",IFERROR(VLOOKUP(C496,'Calibrated Tools Register'!B:C,2,FALSE),"NOT registered"))</f>
        <v/>
      </c>
      <c r="E496" s="3"/>
      <c r="F496" s="4"/>
      <c r="G496" s="3"/>
      <c r="H496" s="3" t="str">
        <f ca="1">IFERROR(VLOOKUP(C496,'Calibrated Tools Register'!B:M,12,FALSE)-TODAY(),"")</f>
        <v/>
      </c>
      <c r="I496" s="3" t="str">
        <f t="shared" ca="1" si="15"/>
        <v/>
      </c>
      <c r="J496" s="3"/>
      <c r="K496" s="4"/>
      <c r="L496" s="3"/>
      <c r="M496" s="4"/>
      <c r="N496" s="4"/>
      <c r="O496" s="4"/>
    </row>
    <row r="497" spans="1:15">
      <c r="A497" s="3" t="str">
        <f t="shared" si="14"/>
        <v/>
      </c>
      <c r="B497" s="5"/>
      <c r="C497" s="23"/>
      <c r="D497" s="4" t="str">
        <f>IF(C497="","",IFERROR(VLOOKUP(C497,'Calibrated Tools Register'!B:C,2,FALSE),"NOT registered"))</f>
        <v/>
      </c>
      <c r="E497" s="5"/>
      <c r="F497" s="6"/>
      <c r="G497" s="5"/>
      <c r="H497" s="5" t="str">
        <f ca="1">IFERROR(VLOOKUP(C497,'Calibrated Tools Register'!B:M,12,FALSE)-TODAY(),"")</f>
        <v/>
      </c>
      <c r="I497" s="3" t="str">
        <f t="shared" ca="1" si="15"/>
        <v/>
      </c>
      <c r="J497" s="5"/>
      <c r="K497" s="6"/>
      <c r="L497" s="5"/>
      <c r="M497" s="6"/>
      <c r="N497" s="6"/>
      <c r="O497" s="6"/>
    </row>
    <row r="498" spans="1:15">
      <c r="A498" s="3" t="str">
        <f t="shared" si="14"/>
        <v/>
      </c>
      <c r="B498" s="3"/>
      <c r="C498" s="22"/>
      <c r="D498" s="4" t="str">
        <f>IF(C498="","",IFERROR(VLOOKUP(C498,'Calibrated Tools Register'!B:C,2,FALSE),"NOT registered"))</f>
        <v/>
      </c>
      <c r="E498" s="3"/>
      <c r="F498" s="4"/>
      <c r="G498" s="3"/>
      <c r="H498" s="3" t="str">
        <f ca="1">IFERROR(VLOOKUP(C498,'Calibrated Tools Register'!B:M,12,FALSE)-TODAY(),"")</f>
        <v/>
      </c>
      <c r="I498" s="3" t="str">
        <f t="shared" ca="1" si="15"/>
        <v/>
      </c>
      <c r="J498" s="3"/>
      <c r="K498" s="4"/>
      <c r="L498" s="3"/>
      <c r="M498" s="4"/>
      <c r="N498" s="4"/>
      <c r="O498" s="4"/>
    </row>
    <row r="499" spans="1:15">
      <c r="A499" s="3" t="str">
        <f t="shared" si="14"/>
        <v/>
      </c>
      <c r="B499" s="5"/>
      <c r="C499" s="23"/>
      <c r="D499" s="4" t="str">
        <f>IF(C499="","",IFERROR(VLOOKUP(C499,'Calibrated Tools Register'!B:C,2,FALSE),"NOT registered"))</f>
        <v/>
      </c>
      <c r="E499" s="5"/>
      <c r="F499" s="6"/>
      <c r="G499" s="5"/>
      <c r="H499" s="5" t="str">
        <f ca="1">IFERROR(VLOOKUP(C499,'Calibrated Tools Register'!B:M,12,FALSE)-TODAY(),"")</f>
        <v/>
      </c>
      <c r="I499" s="3" t="str">
        <f t="shared" ca="1" si="15"/>
        <v/>
      </c>
      <c r="J499" s="5"/>
      <c r="K499" s="6"/>
      <c r="L499" s="5"/>
      <c r="M499" s="6"/>
      <c r="N499" s="6"/>
      <c r="O499" s="6"/>
    </row>
    <row r="500" spans="1:15">
      <c r="A500" s="3" t="str">
        <f t="shared" si="14"/>
        <v/>
      </c>
      <c r="B500" s="3"/>
      <c r="C500" s="22"/>
      <c r="D500" s="4" t="str">
        <f>IF(C500="","",IFERROR(VLOOKUP(C500,'Calibrated Tools Register'!B:C,2,FALSE),"NOT registered"))</f>
        <v/>
      </c>
      <c r="E500" s="3"/>
      <c r="F500" s="4"/>
      <c r="G500" s="3"/>
      <c r="H500" s="3" t="str">
        <f ca="1">IFERROR(VLOOKUP(C500,'Calibrated Tools Register'!B:M,12,FALSE)-TODAY(),"")</f>
        <v/>
      </c>
      <c r="I500" s="3" t="str">
        <f t="shared" ca="1" si="15"/>
        <v/>
      </c>
      <c r="J500" s="3"/>
      <c r="K500" s="4"/>
      <c r="L500" s="3"/>
      <c r="M500" s="4"/>
      <c r="N500" s="4"/>
      <c r="O500" s="4"/>
    </row>
    <row r="501" spans="1:15">
      <c r="A501" s="3" t="str">
        <f t="shared" si="14"/>
        <v/>
      </c>
      <c r="B501" s="5"/>
      <c r="C501" s="23"/>
      <c r="D501" s="4" t="str">
        <f>IF(C501="","",IFERROR(VLOOKUP(C501,'Calibrated Tools Register'!B:C,2,FALSE),"NOT registered"))</f>
        <v/>
      </c>
      <c r="E501" s="5"/>
      <c r="F501" s="6"/>
      <c r="G501" s="5"/>
      <c r="H501" s="5" t="str">
        <f ca="1">IFERROR(VLOOKUP(C501,'Calibrated Tools Register'!B:M,12,FALSE)-TODAY(),"")</f>
        <v/>
      </c>
      <c r="I501" s="3" t="str">
        <f t="shared" ca="1" si="15"/>
        <v/>
      </c>
      <c r="J501" s="5"/>
      <c r="K501" s="6"/>
      <c r="L501" s="5"/>
      <c r="M501" s="6"/>
      <c r="N501" s="6"/>
      <c r="O501" s="6"/>
    </row>
    <row r="502" spans="1:15">
      <c r="A502" s="3" t="str">
        <f t="shared" si="14"/>
        <v/>
      </c>
      <c r="B502" s="3"/>
      <c r="C502" s="22"/>
      <c r="D502" s="4" t="str">
        <f>IF(C502="","",IFERROR(VLOOKUP(C502,'Calibrated Tools Register'!B:C,2,FALSE),"NOT registered"))</f>
        <v/>
      </c>
      <c r="E502" s="3"/>
      <c r="F502" s="4"/>
      <c r="G502" s="3"/>
      <c r="H502" s="3" t="str">
        <f ca="1">IFERROR(VLOOKUP(C502,'Calibrated Tools Register'!B:M,12,FALSE)-TODAY(),"")</f>
        <v/>
      </c>
      <c r="I502" s="3" t="str">
        <f t="shared" ca="1" si="15"/>
        <v/>
      </c>
      <c r="J502" s="3"/>
      <c r="K502" s="4"/>
      <c r="L502" s="3"/>
      <c r="M502" s="4"/>
      <c r="N502" s="4"/>
      <c r="O502" s="4"/>
    </row>
    <row r="503" spans="1:15">
      <c r="A503" s="3" t="str">
        <f t="shared" si="14"/>
        <v/>
      </c>
      <c r="B503" s="5"/>
      <c r="C503" s="23"/>
      <c r="D503" s="4" t="str">
        <f>IF(C503="","",IFERROR(VLOOKUP(C503,'Calibrated Tools Register'!B:C,2,FALSE),"NOT registered"))</f>
        <v/>
      </c>
      <c r="E503" s="5"/>
      <c r="F503" s="6"/>
      <c r="G503" s="5"/>
      <c r="H503" s="5" t="str">
        <f ca="1">IFERROR(VLOOKUP(C503,'Calibrated Tools Register'!B:M,12,FALSE)-TODAY(),"")</f>
        <v/>
      </c>
      <c r="I503" s="3" t="str">
        <f t="shared" ca="1" si="15"/>
        <v/>
      </c>
      <c r="J503" s="5"/>
      <c r="K503" s="6"/>
      <c r="L503" s="5"/>
      <c r="M503" s="6"/>
      <c r="N503" s="6"/>
      <c r="O503" s="6"/>
    </row>
    <row r="504" spans="1:15">
      <c r="A504" s="3" t="str">
        <f t="shared" si="14"/>
        <v/>
      </c>
      <c r="B504" s="3"/>
      <c r="C504" s="22"/>
      <c r="D504" s="4" t="str">
        <f>IF(C504="","",IFERROR(VLOOKUP(C504,'Calibrated Tools Register'!B:C,2,FALSE),"NOT registered"))</f>
        <v/>
      </c>
      <c r="E504" s="3"/>
      <c r="F504" s="4"/>
      <c r="G504" s="3"/>
      <c r="H504" s="3" t="str">
        <f ca="1">IFERROR(VLOOKUP(C504,'Calibrated Tools Register'!B:M,12,FALSE)-TODAY(),"")</f>
        <v/>
      </c>
      <c r="I504" s="3" t="str">
        <f t="shared" ca="1" si="15"/>
        <v/>
      </c>
      <c r="J504" s="3"/>
      <c r="K504" s="4"/>
      <c r="L504" s="3"/>
      <c r="M504" s="4"/>
      <c r="N504" s="4"/>
      <c r="O504" s="4"/>
    </row>
    <row r="505" spans="1:15">
      <c r="A505" s="3" t="str">
        <f t="shared" si="14"/>
        <v/>
      </c>
      <c r="B505" s="5"/>
      <c r="C505" s="23"/>
      <c r="D505" s="4" t="str">
        <f>IF(C505="","",IFERROR(VLOOKUP(C505,'Calibrated Tools Register'!B:C,2,FALSE),"NOT registered"))</f>
        <v/>
      </c>
      <c r="E505" s="5"/>
      <c r="F505" s="6"/>
      <c r="G505" s="5"/>
      <c r="H505" s="5" t="str">
        <f ca="1">IFERROR(VLOOKUP(C505,'Calibrated Tools Register'!B:M,12,FALSE)-TODAY(),"")</f>
        <v/>
      </c>
      <c r="I505" s="3" t="str">
        <f t="shared" ca="1" si="15"/>
        <v/>
      </c>
      <c r="J505" s="5"/>
      <c r="K505" s="6"/>
      <c r="L505" s="5"/>
      <c r="M505" s="6"/>
      <c r="N505" s="6"/>
      <c r="O505" s="6"/>
    </row>
    <row r="506" spans="1:15">
      <c r="A506" s="3" t="str">
        <f t="shared" si="14"/>
        <v/>
      </c>
      <c r="B506" s="3"/>
      <c r="C506" s="22"/>
      <c r="D506" s="4" t="str">
        <f>IF(C506="","",IFERROR(VLOOKUP(C506,'Calibrated Tools Register'!B:C,2,FALSE),"NOT registered"))</f>
        <v/>
      </c>
      <c r="E506" s="3"/>
      <c r="F506" s="4"/>
      <c r="G506" s="3"/>
      <c r="H506" s="3" t="str">
        <f ca="1">IFERROR(VLOOKUP(C506,'Calibrated Tools Register'!B:M,12,FALSE)-TODAY(),"")</f>
        <v/>
      </c>
      <c r="I506" s="3" t="str">
        <f t="shared" ca="1" si="15"/>
        <v/>
      </c>
      <c r="J506" s="3"/>
      <c r="K506" s="4"/>
      <c r="L506" s="3"/>
      <c r="M506" s="4"/>
      <c r="N506" s="4"/>
      <c r="O506" s="4"/>
    </row>
    <row r="507" spans="1:15">
      <c r="A507" s="3" t="str">
        <f t="shared" si="14"/>
        <v/>
      </c>
      <c r="B507" s="5"/>
      <c r="C507" s="23"/>
      <c r="D507" s="4" t="str">
        <f>IF(C507="","",IFERROR(VLOOKUP(C507,'Calibrated Tools Register'!B:C,2,FALSE),"NOT registered"))</f>
        <v/>
      </c>
      <c r="E507" s="5"/>
      <c r="F507" s="6"/>
      <c r="G507" s="5"/>
      <c r="H507" s="5" t="str">
        <f ca="1">IFERROR(VLOOKUP(C507,'Calibrated Tools Register'!B:M,12,FALSE)-TODAY(),"")</f>
        <v/>
      </c>
      <c r="I507" s="3" t="str">
        <f t="shared" ca="1" si="15"/>
        <v/>
      </c>
      <c r="J507" s="5"/>
      <c r="K507" s="6"/>
      <c r="L507" s="5"/>
      <c r="M507" s="6"/>
      <c r="N507" s="6"/>
      <c r="O507" s="6"/>
    </row>
    <row r="508" spans="1:15">
      <c r="A508" s="3" t="str">
        <f t="shared" si="14"/>
        <v/>
      </c>
      <c r="B508" s="3"/>
      <c r="C508" s="22"/>
      <c r="D508" s="4" t="str">
        <f>IF(C508="","",IFERROR(VLOOKUP(C508,'Calibrated Tools Register'!B:C,2,FALSE),"NOT registered"))</f>
        <v/>
      </c>
      <c r="E508" s="3"/>
      <c r="F508" s="4"/>
      <c r="G508" s="3"/>
      <c r="H508" s="3" t="str">
        <f ca="1">IFERROR(VLOOKUP(C508,'Calibrated Tools Register'!B:M,12,FALSE)-TODAY(),"")</f>
        <v/>
      </c>
      <c r="I508" s="3" t="str">
        <f t="shared" ca="1" si="15"/>
        <v/>
      </c>
      <c r="J508" s="3"/>
      <c r="K508" s="4"/>
      <c r="L508" s="3"/>
      <c r="M508" s="4"/>
      <c r="N508" s="4"/>
      <c r="O508" s="4"/>
    </row>
    <row r="509" spans="1:15">
      <c r="A509" s="3" t="str">
        <f t="shared" si="14"/>
        <v/>
      </c>
      <c r="B509" s="5"/>
      <c r="C509" s="23"/>
      <c r="D509" s="4" t="str">
        <f>IF(C509="","",IFERROR(VLOOKUP(C509,'Calibrated Tools Register'!B:C,2,FALSE),"NOT registered"))</f>
        <v/>
      </c>
      <c r="E509" s="5"/>
      <c r="F509" s="6"/>
      <c r="G509" s="5"/>
      <c r="H509" s="5" t="str">
        <f ca="1">IFERROR(VLOOKUP(C509,'Calibrated Tools Register'!B:M,12,FALSE)-TODAY(),"")</f>
        <v/>
      </c>
      <c r="I509" s="3" t="str">
        <f t="shared" ca="1" si="15"/>
        <v/>
      </c>
      <c r="J509" s="5"/>
      <c r="K509" s="6"/>
      <c r="L509" s="5"/>
      <c r="M509" s="6"/>
      <c r="N509" s="6"/>
      <c r="O509" s="6"/>
    </row>
    <row r="510" spans="1:15">
      <c r="A510" s="3" t="str">
        <f t="shared" si="14"/>
        <v/>
      </c>
      <c r="B510" s="3"/>
      <c r="C510" s="22"/>
      <c r="D510" s="4" t="str">
        <f>IF(C510="","",IFERROR(VLOOKUP(C510,'Calibrated Tools Register'!B:C,2,FALSE),"NOT registered"))</f>
        <v/>
      </c>
      <c r="E510" s="3"/>
      <c r="F510" s="4"/>
      <c r="G510" s="3"/>
      <c r="H510" s="3" t="str">
        <f ca="1">IFERROR(VLOOKUP(C510,'Calibrated Tools Register'!B:M,12,FALSE)-TODAY(),"")</f>
        <v/>
      </c>
      <c r="I510" s="3" t="str">
        <f t="shared" ca="1" si="15"/>
        <v/>
      </c>
      <c r="J510" s="3"/>
      <c r="K510" s="4"/>
      <c r="L510" s="3"/>
      <c r="M510" s="4"/>
      <c r="N510" s="4"/>
      <c r="O510" s="4"/>
    </row>
    <row r="511" spans="1:15">
      <c r="A511" s="3" t="str">
        <f t="shared" si="14"/>
        <v/>
      </c>
      <c r="B511" s="5"/>
      <c r="C511" s="23"/>
      <c r="D511" s="4" t="str">
        <f>IF(C511="","",IFERROR(VLOOKUP(C511,'Calibrated Tools Register'!B:C,2,FALSE),"NOT registered"))</f>
        <v/>
      </c>
      <c r="E511" s="5"/>
      <c r="F511" s="6"/>
      <c r="G511" s="5"/>
      <c r="H511" s="5" t="str">
        <f ca="1">IFERROR(VLOOKUP(C511,'Calibrated Tools Register'!B:M,12,FALSE)-TODAY(),"")</f>
        <v/>
      </c>
      <c r="I511" s="3" t="str">
        <f t="shared" ca="1" si="15"/>
        <v/>
      </c>
      <c r="J511" s="5"/>
      <c r="K511" s="6"/>
      <c r="L511" s="5"/>
      <c r="M511" s="6"/>
      <c r="N511" s="6"/>
      <c r="O511" s="6"/>
    </row>
    <row r="512" spans="1:15">
      <c r="A512" s="3" t="str">
        <f t="shared" si="14"/>
        <v/>
      </c>
      <c r="B512" s="3"/>
      <c r="C512" s="22"/>
      <c r="D512" s="4" t="str">
        <f>IF(C512="","",IFERROR(VLOOKUP(C512,'Calibrated Tools Register'!B:C,2,FALSE),"NOT registered"))</f>
        <v/>
      </c>
      <c r="E512" s="3"/>
      <c r="F512" s="4"/>
      <c r="G512" s="3"/>
      <c r="H512" s="3" t="str">
        <f ca="1">IFERROR(VLOOKUP(C512,'Calibrated Tools Register'!B:M,12,FALSE)-TODAY(),"")</f>
        <v/>
      </c>
      <c r="I512" s="3" t="str">
        <f t="shared" ca="1" si="15"/>
        <v/>
      </c>
      <c r="J512" s="3"/>
      <c r="K512" s="4"/>
      <c r="L512" s="3"/>
      <c r="M512" s="4"/>
      <c r="N512" s="4"/>
      <c r="O512" s="4"/>
    </row>
    <row r="513" spans="1:15">
      <c r="A513" s="3" t="str">
        <f t="shared" si="14"/>
        <v/>
      </c>
      <c r="B513" s="5"/>
      <c r="C513" s="23"/>
      <c r="D513" s="4" t="str">
        <f>IF(C513="","",IFERROR(VLOOKUP(C513,'Calibrated Tools Register'!B:C,2,FALSE),"NOT registered"))</f>
        <v/>
      </c>
      <c r="E513" s="5"/>
      <c r="F513" s="6"/>
      <c r="G513" s="5"/>
      <c r="H513" s="5" t="str">
        <f ca="1">IFERROR(VLOOKUP(C513,'Calibrated Tools Register'!B:M,12,FALSE)-TODAY(),"")</f>
        <v/>
      </c>
      <c r="I513" s="3" t="str">
        <f t="shared" ca="1" si="15"/>
        <v/>
      </c>
      <c r="J513" s="5"/>
      <c r="K513" s="6"/>
      <c r="L513" s="5"/>
      <c r="M513" s="6"/>
      <c r="N513" s="6"/>
      <c r="O513" s="6"/>
    </row>
    <row r="514" spans="1:15">
      <c r="A514" s="3" t="str">
        <f t="shared" si="14"/>
        <v/>
      </c>
      <c r="B514" s="3"/>
      <c r="C514" s="22"/>
      <c r="D514" s="4" t="str">
        <f>IF(C514="","",IFERROR(VLOOKUP(C514,'Calibrated Tools Register'!B:C,2,FALSE),"NOT registered"))</f>
        <v/>
      </c>
      <c r="E514" s="3"/>
      <c r="F514" s="4"/>
      <c r="G514" s="3"/>
      <c r="H514" s="3" t="str">
        <f ca="1">IFERROR(VLOOKUP(C514,'Calibrated Tools Register'!B:M,12,FALSE)-TODAY(),"")</f>
        <v/>
      </c>
      <c r="I514" s="3" t="str">
        <f t="shared" ca="1" si="15"/>
        <v/>
      </c>
      <c r="J514" s="3"/>
      <c r="K514" s="4"/>
      <c r="L514" s="3"/>
      <c r="M514" s="4"/>
      <c r="N514" s="4"/>
      <c r="O514" s="4"/>
    </row>
    <row r="515" spans="1:15">
      <c r="A515" s="3" t="str">
        <f t="shared" si="14"/>
        <v/>
      </c>
      <c r="B515" s="5"/>
      <c r="C515" s="23"/>
      <c r="D515" s="4" t="str">
        <f>IF(C515="","",IFERROR(VLOOKUP(C515,'Calibrated Tools Register'!B:C,2,FALSE),"NOT registered"))</f>
        <v/>
      </c>
      <c r="E515" s="5"/>
      <c r="F515" s="6"/>
      <c r="G515" s="5"/>
      <c r="H515" s="5" t="str">
        <f ca="1">IFERROR(VLOOKUP(C515,'Calibrated Tools Register'!B:M,12,FALSE)-TODAY(),"")</f>
        <v/>
      </c>
      <c r="I515" s="3" t="str">
        <f t="shared" ca="1" si="15"/>
        <v/>
      </c>
      <c r="J515" s="5"/>
      <c r="K515" s="6"/>
      <c r="L515" s="5"/>
      <c r="M515" s="6"/>
      <c r="N515" s="6"/>
      <c r="O515" s="6"/>
    </row>
    <row r="516" spans="1:15">
      <c r="A516" s="3" t="str">
        <f t="shared" ref="A516:A579" si="16">IF(C516="","",ROW(C516)-3)</f>
        <v/>
      </c>
      <c r="B516" s="3"/>
      <c r="C516" s="22"/>
      <c r="D516" s="4" t="str">
        <f>IF(C516="","",IFERROR(VLOOKUP(C516,'Calibrated Tools Register'!B:C,2,FALSE),"NOT registered"))</f>
        <v/>
      </c>
      <c r="E516" s="3"/>
      <c r="F516" s="4"/>
      <c r="G516" s="3"/>
      <c r="H516" s="3" t="str">
        <f ca="1">IFERROR(VLOOKUP(C516,'Calibrated Tools Register'!B:M,12,FALSE)-TODAY(),"")</f>
        <v/>
      </c>
      <c r="I516" s="3" t="str">
        <f t="shared" ca="1" si="15"/>
        <v/>
      </c>
      <c r="J516" s="3"/>
      <c r="K516" s="4"/>
      <c r="L516" s="3"/>
      <c r="M516" s="4"/>
      <c r="N516" s="4"/>
      <c r="O516" s="4"/>
    </row>
    <row r="517" spans="1:15">
      <c r="A517" s="3" t="str">
        <f t="shared" si="16"/>
        <v/>
      </c>
      <c r="B517" s="5"/>
      <c r="C517" s="23"/>
      <c r="D517" s="4" t="str">
        <f>IF(C517="","",IFERROR(VLOOKUP(C517,'Calibrated Tools Register'!B:C,2,FALSE),"NOT registered"))</f>
        <v/>
      </c>
      <c r="E517" s="5"/>
      <c r="F517" s="6"/>
      <c r="G517" s="5"/>
      <c r="H517" s="5" t="str">
        <f ca="1">IFERROR(VLOOKUP(C517,'Calibrated Tools Register'!B:M,12,FALSE)-TODAY(),"")</f>
        <v/>
      </c>
      <c r="I517" s="3" t="str">
        <f t="shared" ref="I517:I580" ca="1" si="17">IF(H517="","",IF(H517&lt;=0,"Urgent",IF(H517&lt;=30,"High",IF(H517&lt;=45,"Medium","Low"))))</f>
        <v/>
      </c>
      <c r="J517" s="5"/>
      <c r="K517" s="6"/>
      <c r="L517" s="5"/>
      <c r="M517" s="6"/>
      <c r="N517" s="6"/>
      <c r="O517" s="6"/>
    </row>
    <row r="518" spans="1:15">
      <c r="A518" s="3" t="str">
        <f t="shared" si="16"/>
        <v/>
      </c>
      <c r="B518" s="3"/>
      <c r="C518" s="22"/>
      <c r="D518" s="4" t="str">
        <f>IF(C518="","",IFERROR(VLOOKUP(C518,'Calibrated Tools Register'!B:C,2,FALSE),"NOT registered"))</f>
        <v/>
      </c>
      <c r="E518" s="3"/>
      <c r="F518" s="4"/>
      <c r="G518" s="3"/>
      <c r="H518" s="3" t="str">
        <f ca="1">IFERROR(VLOOKUP(C518,'Calibrated Tools Register'!B:M,12,FALSE)-TODAY(),"")</f>
        <v/>
      </c>
      <c r="I518" s="3" t="str">
        <f t="shared" ca="1" si="17"/>
        <v/>
      </c>
      <c r="J518" s="3"/>
      <c r="K518" s="4"/>
      <c r="L518" s="3"/>
      <c r="M518" s="4"/>
      <c r="N518" s="4"/>
      <c r="O518" s="4"/>
    </row>
    <row r="519" spans="1:15">
      <c r="A519" s="3" t="str">
        <f t="shared" si="16"/>
        <v/>
      </c>
      <c r="B519" s="5"/>
      <c r="C519" s="23"/>
      <c r="D519" s="4" t="str">
        <f>IF(C519="","",IFERROR(VLOOKUP(C519,'Calibrated Tools Register'!B:C,2,FALSE),"NOT registered"))</f>
        <v/>
      </c>
      <c r="E519" s="5"/>
      <c r="F519" s="6"/>
      <c r="G519" s="5"/>
      <c r="H519" s="5" t="str">
        <f ca="1">IFERROR(VLOOKUP(C519,'Calibrated Tools Register'!B:M,12,FALSE)-TODAY(),"")</f>
        <v/>
      </c>
      <c r="I519" s="3" t="str">
        <f t="shared" ca="1" si="17"/>
        <v/>
      </c>
      <c r="J519" s="5"/>
      <c r="K519" s="6"/>
      <c r="L519" s="5"/>
      <c r="M519" s="6"/>
      <c r="N519" s="6"/>
      <c r="O519" s="6"/>
    </row>
    <row r="520" spans="1:15">
      <c r="A520" s="3" t="str">
        <f t="shared" si="16"/>
        <v/>
      </c>
      <c r="B520" s="3"/>
      <c r="C520" s="22"/>
      <c r="D520" s="4" t="str">
        <f>IF(C520="","",IFERROR(VLOOKUP(C520,'Calibrated Tools Register'!B:C,2,FALSE),"NOT registered"))</f>
        <v/>
      </c>
      <c r="E520" s="3"/>
      <c r="F520" s="4"/>
      <c r="G520" s="3"/>
      <c r="H520" s="3" t="str">
        <f ca="1">IFERROR(VLOOKUP(C520,'Calibrated Tools Register'!B:M,12,FALSE)-TODAY(),"")</f>
        <v/>
      </c>
      <c r="I520" s="3" t="str">
        <f t="shared" ca="1" si="17"/>
        <v/>
      </c>
      <c r="J520" s="3"/>
      <c r="K520" s="4"/>
      <c r="L520" s="3"/>
      <c r="M520" s="4"/>
      <c r="N520" s="4"/>
      <c r="O520" s="4"/>
    </row>
    <row r="521" spans="1:15">
      <c r="A521" s="3" t="str">
        <f t="shared" si="16"/>
        <v/>
      </c>
      <c r="B521" s="5"/>
      <c r="C521" s="23"/>
      <c r="D521" s="4" t="str">
        <f>IF(C521="","",IFERROR(VLOOKUP(C521,'Calibrated Tools Register'!B:C,2,FALSE),"NOT registered"))</f>
        <v/>
      </c>
      <c r="E521" s="5"/>
      <c r="F521" s="6"/>
      <c r="G521" s="5"/>
      <c r="H521" s="5" t="str">
        <f ca="1">IFERROR(VLOOKUP(C521,'Calibrated Tools Register'!B:M,12,FALSE)-TODAY(),"")</f>
        <v/>
      </c>
      <c r="I521" s="3" t="str">
        <f t="shared" ca="1" si="17"/>
        <v/>
      </c>
      <c r="J521" s="5"/>
      <c r="K521" s="6"/>
      <c r="L521" s="5"/>
      <c r="M521" s="6"/>
      <c r="N521" s="6"/>
      <c r="O521" s="6"/>
    </row>
    <row r="522" spans="1:15">
      <c r="A522" s="3" t="str">
        <f t="shared" si="16"/>
        <v/>
      </c>
      <c r="B522" s="3"/>
      <c r="C522" s="22"/>
      <c r="D522" s="4" t="str">
        <f>IF(C522="","",IFERROR(VLOOKUP(C522,'Calibrated Tools Register'!B:C,2,FALSE),"NOT registered"))</f>
        <v/>
      </c>
      <c r="E522" s="3"/>
      <c r="F522" s="4"/>
      <c r="G522" s="3"/>
      <c r="H522" s="3" t="str">
        <f ca="1">IFERROR(VLOOKUP(C522,'Calibrated Tools Register'!B:M,12,FALSE)-TODAY(),"")</f>
        <v/>
      </c>
      <c r="I522" s="3" t="str">
        <f t="shared" ca="1" si="17"/>
        <v/>
      </c>
      <c r="J522" s="3"/>
      <c r="K522" s="4"/>
      <c r="L522" s="3"/>
      <c r="M522" s="4"/>
      <c r="N522" s="4"/>
      <c r="O522" s="4"/>
    </row>
    <row r="523" spans="1:15">
      <c r="A523" s="3" t="str">
        <f t="shared" si="16"/>
        <v/>
      </c>
      <c r="B523" s="5"/>
      <c r="C523" s="23"/>
      <c r="D523" s="4" t="str">
        <f>IF(C523="","",IFERROR(VLOOKUP(C523,'Calibrated Tools Register'!B:C,2,FALSE),"NOT registered"))</f>
        <v/>
      </c>
      <c r="E523" s="5"/>
      <c r="F523" s="6"/>
      <c r="G523" s="5"/>
      <c r="H523" s="5" t="str">
        <f ca="1">IFERROR(VLOOKUP(C523,'Calibrated Tools Register'!B:M,12,FALSE)-TODAY(),"")</f>
        <v/>
      </c>
      <c r="I523" s="3" t="str">
        <f t="shared" ca="1" si="17"/>
        <v/>
      </c>
      <c r="J523" s="5"/>
      <c r="K523" s="6"/>
      <c r="L523" s="5"/>
      <c r="M523" s="6"/>
      <c r="N523" s="6"/>
      <c r="O523" s="6"/>
    </row>
    <row r="524" spans="1:15">
      <c r="A524" s="3" t="str">
        <f t="shared" si="16"/>
        <v/>
      </c>
      <c r="B524" s="3"/>
      <c r="C524" s="22"/>
      <c r="D524" s="4" t="str">
        <f>IF(C524="","",IFERROR(VLOOKUP(C524,'Calibrated Tools Register'!B:C,2,FALSE),"NOT registered"))</f>
        <v/>
      </c>
      <c r="E524" s="3"/>
      <c r="F524" s="4"/>
      <c r="G524" s="3"/>
      <c r="H524" s="3" t="str">
        <f ca="1">IFERROR(VLOOKUP(C524,'Calibrated Tools Register'!B:M,12,FALSE)-TODAY(),"")</f>
        <v/>
      </c>
      <c r="I524" s="3" t="str">
        <f t="shared" ca="1" si="17"/>
        <v/>
      </c>
      <c r="J524" s="3"/>
      <c r="K524" s="4"/>
      <c r="L524" s="3"/>
      <c r="M524" s="4"/>
      <c r="N524" s="4"/>
      <c r="O524" s="4"/>
    </row>
    <row r="525" spans="1:15">
      <c r="A525" s="3" t="str">
        <f t="shared" si="16"/>
        <v/>
      </c>
      <c r="B525" s="5"/>
      <c r="C525" s="23"/>
      <c r="D525" s="4" t="str">
        <f>IF(C525="","",IFERROR(VLOOKUP(C525,'Calibrated Tools Register'!B:C,2,FALSE),"NOT registered"))</f>
        <v/>
      </c>
      <c r="E525" s="5"/>
      <c r="F525" s="6"/>
      <c r="G525" s="5"/>
      <c r="H525" s="5" t="str">
        <f ca="1">IFERROR(VLOOKUP(C525,'Calibrated Tools Register'!B:M,12,FALSE)-TODAY(),"")</f>
        <v/>
      </c>
      <c r="I525" s="3" t="str">
        <f t="shared" ca="1" si="17"/>
        <v/>
      </c>
      <c r="J525" s="5"/>
      <c r="K525" s="6"/>
      <c r="L525" s="5"/>
      <c r="M525" s="6"/>
      <c r="N525" s="6"/>
      <c r="O525" s="6"/>
    </row>
    <row r="526" spans="1:15">
      <c r="A526" s="3" t="str">
        <f t="shared" si="16"/>
        <v/>
      </c>
      <c r="B526" s="3"/>
      <c r="C526" s="22"/>
      <c r="D526" s="4" t="str">
        <f>IF(C526="","",IFERROR(VLOOKUP(C526,'Calibrated Tools Register'!B:C,2,FALSE),"NOT registered"))</f>
        <v/>
      </c>
      <c r="E526" s="3"/>
      <c r="F526" s="4"/>
      <c r="G526" s="3"/>
      <c r="H526" s="3" t="str">
        <f ca="1">IFERROR(VLOOKUP(C526,'Calibrated Tools Register'!B:M,12,FALSE)-TODAY(),"")</f>
        <v/>
      </c>
      <c r="I526" s="3" t="str">
        <f t="shared" ca="1" si="17"/>
        <v/>
      </c>
      <c r="J526" s="3"/>
      <c r="K526" s="4"/>
      <c r="L526" s="3"/>
      <c r="M526" s="4"/>
      <c r="N526" s="4"/>
      <c r="O526" s="4"/>
    </row>
    <row r="527" spans="1:15">
      <c r="A527" s="3" t="str">
        <f t="shared" si="16"/>
        <v/>
      </c>
      <c r="B527" s="5"/>
      <c r="C527" s="23"/>
      <c r="D527" s="4" t="str">
        <f>IF(C527="","",IFERROR(VLOOKUP(C527,'Calibrated Tools Register'!B:C,2,FALSE),"NOT registered"))</f>
        <v/>
      </c>
      <c r="E527" s="5"/>
      <c r="F527" s="6"/>
      <c r="G527" s="5"/>
      <c r="H527" s="5" t="str">
        <f ca="1">IFERROR(VLOOKUP(C527,'Calibrated Tools Register'!B:M,12,FALSE)-TODAY(),"")</f>
        <v/>
      </c>
      <c r="I527" s="3" t="str">
        <f t="shared" ca="1" si="17"/>
        <v/>
      </c>
      <c r="J527" s="5"/>
      <c r="K527" s="6"/>
      <c r="L527" s="5"/>
      <c r="M527" s="6"/>
      <c r="N527" s="6"/>
      <c r="O527" s="6"/>
    </row>
    <row r="528" spans="1:15">
      <c r="A528" s="3" t="str">
        <f t="shared" si="16"/>
        <v/>
      </c>
      <c r="B528" s="3"/>
      <c r="C528" s="22"/>
      <c r="D528" s="4" t="str">
        <f>IF(C528="","",IFERROR(VLOOKUP(C528,'Calibrated Tools Register'!B:C,2,FALSE),"NOT registered"))</f>
        <v/>
      </c>
      <c r="E528" s="3"/>
      <c r="F528" s="4"/>
      <c r="G528" s="3"/>
      <c r="H528" s="3" t="str">
        <f ca="1">IFERROR(VLOOKUP(C528,'Calibrated Tools Register'!B:M,12,FALSE)-TODAY(),"")</f>
        <v/>
      </c>
      <c r="I528" s="3" t="str">
        <f t="shared" ca="1" si="17"/>
        <v/>
      </c>
      <c r="J528" s="3"/>
      <c r="K528" s="4"/>
      <c r="L528" s="3"/>
      <c r="M528" s="4"/>
      <c r="N528" s="4"/>
      <c r="O528" s="4"/>
    </row>
    <row r="529" spans="1:15">
      <c r="A529" s="3" t="str">
        <f t="shared" si="16"/>
        <v/>
      </c>
      <c r="B529" s="5"/>
      <c r="C529" s="23"/>
      <c r="D529" s="4" t="str">
        <f>IF(C529="","",IFERROR(VLOOKUP(C529,'Calibrated Tools Register'!B:C,2,FALSE),"NOT registered"))</f>
        <v/>
      </c>
      <c r="E529" s="5"/>
      <c r="F529" s="6"/>
      <c r="G529" s="5"/>
      <c r="H529" s="5" t="str">
        <f ca="1">IFERROR(VLOOKUP(C529,'Calibrated Tools Register'!B:M,12,FALSE)-TODAY(),"")</f>
        <v/>
      </c>
      <c r="I529" s="3" t="str">
        <f t="shared" ca="1" si="17"/>
        <v/>
      </c>
      <c r="J529" s="5"/>
      <c r="K529" s="6"/>
      <c r="L529" s="5"/>
      <c r="M529" s="6"/>
      <c r="N529" s="6"/>
      <c r="O529" s="6"/>
    </row>
    <row r="530" spans="1:15">
      <c r="A530" s="3" t="str">
        <f t="shared" si="16"/>
        <v/>
      </c>
      <c r="B530" s="3"/>
      <c r="C530" s="22"/>
      <c r="D530" s="4" t="str">
        <f>IF(C530="","",IFERROR(VLOOKUP(C530,'Calibrated Tools Register'!B:C,2,FALSE),"NOT registered"))</f>
        <v/>
      </c>
      <c r="E530" s="3"/>
      <c r="F530" s="4"/>
      <c r="G530" s="3"/>
      <c r="H530" s="3" t="str">
        <f ca="1">IFERROR(VLOOKUP(C530,'Calibrated Tools Register'!B:M,12,FALSE)-TODAY(),"")</f>
        <v/>
      </c>
      <c r="I530" s="3" t="str">
        <f t="shared" ca="1" si="17"/>
        <v/>
      </c>
      <c r="J530" s="3"/>
      <c r="K530" s="4"/>
      <c r="L530" s="3"/>
      <c r="M530" s="4"/>
      <c r="N530" s="4"/>
      <c r="O530" s="4"/>
    </row>
    <row r="531" spans="1:15">
      <c r="A531" s="3" t="str">
        <f t="shared" si="16"/>
        <v/>
      </c>
      <c r="B531" s="5"/>
      <c r="C531" s="23"/>
      <c r="D531" s="4" t="str">
        <f>IF(C531="","",IFERROR(VLOOKUP(C531,'Calibrated Tools Register'!B:C,2,FALSE),"NOT registered"))</f>
        <v/>
      </c>
      <c r="E531" s="5"/>
      <c r="F531" s="6"/>
      <c r="G531" s="5"/>
      <c r="H531" s="5" t="str">
        <f ca="1">IFERROR(VLOOKUP(C531,'Calibrated Tools Register'!B:M,12,FALSE)-TODAY(),"")</f>
        <v/>
      </c>
      <c r="I531" s="3" t="str">
        <f t="shared" ca="1" si="17"/>
        <v/>
      </c>
      <c r="J531" s="5"/>
      <c r="K531" s="6"/>
      <c r="L531" s="5"/>
      <c r="M531" s="6"/>
      <c r="N531" s="6"/>
      <c r="O531" s="6"/>
    </row>
    <row r="532" spans="1:15">
      <c r="A532" s="3" t="str">
        <f t="shared" si="16"/>
        <v/>
      </c>
      <c r="B532" s="3"/>
      <c r="C532" s="22"/>
      <c r="D532" s="4" t="str">
        <f>IF(C532="","",IFERROR(VLOOKUP(C532,'Calibrated Tools Register'!B:C,2,FALSE),"NOT registered"))</f>
        <v/>
      </c>
      <c r="E532" s="3"/>
      <c r="F532" s="4"/>
      <c r="G532" s="3"/>
      <c r="H532" s="3" t="str">
        <f ca="1">IFERROR(VLOOKUP(C532,'Calibrated Tools Register'!B:M,12,FALSE)-TODAY(),"")</f>
        <v/>
      </c>
      <c r="I532" s="3" t="str">
        <f t="shared" ca="1" si="17"/>
        <v/>
      </c>
      <c r="J532" s="3"/>
      <c r="K532" s="4"/>
      <c r="L532" s="3"/>
      <c r="M532" s="4"/>
      <c r="N532" s="4"/>
      <c r="O532" s="4"/>
    </row>
    <row r="533" spans="1:15">
      <c r="A533" s="3" t="str">
        <f t="shared" si="16"/>
        <v/>
      </c>
      <c r="B533" s="5"/>
      <c r="C533" s="23"/>
      <c r="D533" s="4" t="str">
        <f>IF(C533="","",IFERROR(VLOOKUP(C533,'Calibrated Tools Register'!B:C,2,FALSE),"NOT registered"))</f>
        <v/>
      </c>
      <c r="E533" s="5"/>
      <c r="F533" s="6"/>
      <c r="G533" s="5"/>
      <c r="H533" s="5" t="str">
        <f ca="1">IFERROR(VLOOKUP(C533,'Calibrated Tools Register'!B:M,12,FALSE)-TODAY(),"")</f>
        <v/>
      </c>
      <c r="I533" s="3" t="str">
        <f t="shared" ca="1" si="17"/>
        <v/>
      </c>
      <c r="J533" s="5"/>
      <c r="K533" s="6"/>
      <c r="L533" s="5"/>
      <c r="M533" s="6"/>
      <c r="N533" s="6"/>
      <c r="O533" s="6"/>
    </row>
    <row r="534" spans="1:15">
      <c r="A534" s="3" t="str">
        <f t="shared" si="16"/>
        <v/>
      </c>
      <c r="B534" s="3"/>
      <c r="C534" s="22"/>
      <c r="D534" s="4" t="str">
        <f>IF(C534="","",IFERROR(VLOOKUP(C534,'Calibrated Tools Register'!B:C,2,FALSE),"NOT registered"))</f>
        <v/>
      </c>
      <c r="E534" s="3"/>
      <c r="F534" s="4"/>
      <c r="G534" s="3"/>
      <c r="H534" s="3" t="str">
        <f ca="1">IFERROR(VLOOKUP(C534,'Calibrated Tools Register'!B:M,12,FALSE)-TODAY(),"")</f>
        <v/>
      </c>
      <c r="I534" s="3" t="str">
        <f t="shared" ca="1" si="17"/>
        <v/>
      </c>
      <c r="J534" s="3"/>
      <c r="K534" s="4"/>
      <c r="L534" s="3"/>
      <c r="M534" s="4"/>
      <c r="N534" s="4"/>
      <c r="O534" s="4"/>
    </row>
    <row r="535" spans="1:15">
      <c r="A535" s="3" t="str">
        <f t="shared" si="16"/>
        <v/>
      </c>
      <c r="B535" s="5"/>
      <c r="C535" s="23"/>
      <c r="D535" s="4" t="str">
        <f>IF(C535="","",IFERROR(VLOOKUP(C535,'Calibrated Tools Register'!B:C,2,FALSE),"NOT registered"))</f>
        <v/>
      </c>
      <c r="E535" s="5"/>
      <c r="F535" s="6"/>
      <c r="G535" s="5"/>
      <c r="H535" s="5" t="str">
        <f ca="1">IFERROR(VLOOKUP(C535,'Calibrated Tools Register'!B:M,12,FALSE)-TODAY(),"")</f>
        <v/>
      </c>
      <c r="I535" s="3" t="str">
        <f t="shared" ca="1" si="17"/>
        <v/>
      </c>
      <c r="J535" s="5"/>
      <c r="K535" s="6"/>
      <c r="L535" s="5"/>
      <c r="M535" s="6"/>
      <c r="N535" s="6"/>
      <c r="O535" s="6"/>
    </row>
    <row r="536" spans="1:15">
      <c r="A536" s="3" t="str">
        <f t="shared" si="16"/>
        <v/>
      </c>
      <c r="B536" s="3"/>
      <c r="C536" s="22"/>
      <c r="D536" s="4" t="str">
        <f>IF(C536="","",IFERROR(VLOOKUP(C536,'Calibrated Tools Register'!B:C,2,FALSE),"NOT registered"))</f>
        <v/>
      </c>
      <c r="E536" s="3"/>
      <c r="F536" s="4"/>
      <c r="G536" s="3"/>
      <c r="H536" s="3" t="str">
        <f ca="1">IFERROR(VLOOKUP(C536,'Calibrated Tools Register'!B:M,12,FALSE)-TODAY(),"")</f>
        <v/>
      </c>
      <c r="I536" s="3" t="str">
        <f t="shared" ca="1" si="17"/>
        <v/>
      </c>
      <c r="J536" s="3"/>
      <c r="K536" s="4"/>
      <c r="L536" s="3"/>
      <c r="M536" s="4"/>
      <c r="N536" s="4"/>
      <c r="O536" s="4"/>
    </row>
    <row r="537" spans="1:15">
      <c r="A537" s="3" t="str">
        <f t="shared" si="16"/>
        <v/>
      </c>
      <c r="B537" s="5"/>
      <c r="C537" s="23"/>
      <c r="D537" s="4" t="str">
        <f>IF(C537="","",IFERROR(VLOOKUP(C537,'Calibrated Tools Register'!B:C,2,FALSE),"NOT registered"))</f>
        <v/>
      </c>
      <c r="E537" s="5"/>
      <c r="F537" s="6"/>
      <c r="G537" s="5"/>
      <c r="H537" s="5" t="str">
        <f ca="1">IFERROR(VLOOKUP(C537,'Calibrated Tools Register'!B:M,12,FALSE)-TODAY(),"")</f>
        <v/>
      </c>
      <c r="I537" s="3" t="str">
        <f t="shared" ca="1" si="17"/>
        <v/>
      </c>
      <c r="J537" s="5"/>
      <c r="K537" s="6"/>
      <c r="L537" s="5"/>
      <c r="M537" s="6"/>
      <c r="N537" s="6"/>
      <c r="O537" s="6"/>
    </row>
    <row r="538" spans="1:15">
      <c r="A538" s="3" t="str">
        <f t="shared" si="16"/>
        <v/>
      </c>
      <c r="B538" s="3"/>
      <c r="C538" s="22"/>
      <c r="D538" s="4" t="str">
        <f>IF(C538="","",IFERROR(VLOOKUP(C538,'Calibrated Tools Register'!B:C,2,FALSE),"NOT registered"))</f>
        <v/>
      </c>
      <c r="E538" s="3"/>
      <c r="F538" s="4"/>
      <c r="G538" s="3"/>
      <c r="H538" s="3" t="str">
        <f ca="1">IFERROR(VLOOKUP(C538,'Calibrated Tools Register'!B:M,12,FALSE)-TODAY(),"")</f>
        <v/>
      </c>
      <c r="I538" s="3" t="str">
        <f t="shared" ca="1" si="17"/>
        <v/>
      </c>
      <c r="J538" s="3"/>
      <c r="K538" s="4"/>
      <c r="L538" s="3"/>
      <c r="M538" s="4"/>
      <c r="N538" s="4"/>
      <c r="O538" s="4"/>
    </row>
    <row r="539" spans="1:15">
      <c r="A539" s="3" t="str">
        <f t="shared" si="16"/>
        <v/>
      </c>
      <c r="B539" s="5"/>
      <c r="C539" s="23"/>
      <c r="D539" s="4" t="str">
        <f>IF(C539="","",IFERROR(VLOOKUP(C539,'Calibrated Tools Register'!B:C,2,FALSE),"NOT registered"))</f>
        <v/>
      </c>
      <c r="E539" s="5"/>
      <c r="F539" s="6"/>
      <c r="G539" s="5"/>
      <c r="H539" s="5" t="str">
        <f ca="1">IFERROR(VLOOKUP(C539,'Calibrated Tools Register'!B:M,12,FALSE)-TODAY(),"")</f>
        <v/>
      </c>
      <c r="I539" s="3" t="str">
        <f t="shared" ca="1" si="17"/>
        <v/>
      </c>
      <c r="J539" s="5"/>
      <c r="K539" s="6"/>
      <c r="L539" s="5"/>
      <c r="M539" s="6"/>
      <c r="N539" s="6"/>
      <c r="O539" s="6"/>
    </row>
    <row r="540" spans="1:15">
      <c r="A540" s="3" t="str">
        <f t="shared" si="16"/>
        <v/>
      </c>
      <c r="B540" s="3"/>
      <c r="C540" s="22"/>
      <c r="D540" s="4" t="str">
        <f>IF(C540="","",IFERROR(VLOOKUP(C540,'Calibrated Tools Register'!B:C,2,FALSE),"NOT registered"))</f>
        <v/>
      </c>
      <c r="E540" s="3"/>
      <c r="F540" s="4"/>
      <c r="G540" s="3"/>
      <c r="H540" s="3" t="str">
        <f ca="1">IFERROR(VLOOKUP(C540,'Calibrated Tools Register'!B:M,12,FALSE)-TODAY(),"")</f>
        <v/>
      </c>
      <c r="I540" s="3" t="str">
        <f t="shared" ca="1" si="17"/>
        <v/>
      </c>
      <c r="J540" s="3"/>
      <c r="K540" s="4"/>
      <c r="L540" s="3"/>
      <c r="M540" s="4"/>
      <c r="N540" s="4"/>
      <c r="O540" s="4"/>
    </row>
    <row r="541" spans="1:15">
      <c r="A541" s="3" t="str">
        <f t="shared" si="16"/>
        <v/>
      </c>
      <c r="B541" s="5"/>
      <c r="C541" s="23"/>
      <c r="D541" s="4" t="str">
        <f>IF(C541="","",IFERROR(VLOOKUP(C541,'Calibrated Tools Register'!B:C,2,FALSE),"NOT registered"))</f>
        <v/>
      </c>
      <c r="E541" s="5"/>
      <c r="F541" s="6"/>
      <c r="G541" s="5"/>
      <c r="H541" s="5" t="str">
        <f ca="1">IFERROR(VLOOKUP(C541,'Calibrated Tools Register'!B:M,12,FALSE)-TODAY(),"")</f>
        <v/>
      </c>
      <c r="I541" s="3" t="str">
        <f t="shared" ca="1" si="17"/>
        <v/>
      </c>
      <c r="J541" s="5"/>
      <c r="K541" s="6"/>
      <c r="L541" s="5"/>
      <c r="M541" s="6"/>
      <c r="N541" s="6"/>
      <c r="O541" s="6"/>
    </row>
    <row r="542" spans="1:15">
      <c r="A542" s="3" t="str">
        <f t="shared" si="16"/>
        <v/>
      </c>
      <c r="B542" s="3"/>
      <c r="C542" s="22"/>
      <c r="D542" s="4" t="str">
        <f>IF(C542="","",IFERROR(VLOOKUP(C542,'Calibrated Tools Register'!B:C,2,FALSE),"NOT registered"))</f>
        <v/>
      </c>
      <c r="E542" s="3"/>
      <c r="F542" s="4"/>
      <c r="G542" s="3"/>
      <c r="H542" s="3" t="str">
        <f ca="1">IFERROR(VLOOKUP(C542,'Calibrated Tools Register'!B:M,12,FALSE)-TODAY(),"")</f>
        <v/>
      </c>
      <c r="I542" s="3" t="str">
        <f t="shared" ca="1" si="17"/>
        <v/>
      </c>
      <c r="J542" s="3"/>
      <c r="K542" s="4"/>
      <c r="L542" s="3"/>
      <c r="M542" s="4"/>
      <c r="N542" s="4"/>
      <c r="O542" s="4"/>
    </row>
    <row r="543" spans="1:15">
      <c r="A543" s="3" t="str">
        <f t="shared" si="16"/>
        <v/>
      </c>
      <c r="B543" s="5"/>
      <c r="C543" s="23"/>
      <c r="D543" s="4" t="str">
        <f>IF(C543="","",IFERROR(VLOOKUP(C543,'Calibrated Tools Register'!B:C,2,FALSE),"NOT registered"))</f>
        <v/>
      </c>
      <c r="E543" s="5"/>
      <c r="F543" s="6"/>
      <c r="G543" s="5"/>
      <c r="H543" s="5" t="str">
        <f ca="1">IFERROR(VLOOKUP(C543,'Calibrated Tools Register'!B:M,12,FALSE)-TODAY(),"")</f>
        <v/>
      </c>
      <c r="I543" s="3" t="str">
        <f t="shared" ca="1" si="17"/>
        <v/>
      </c>
      <c r="J543" s="5"/>
      <c r="K543" s="6"/>
      <c r="L543" s="5"/>
      <c r="M543" s="6"/>
      <c r="N543" s="6"/>
      <c r="O543" s="6"/>
    </row>
    <row r="544" spans="1:15">
      <c r="A544" s="3" t="str">
        <f t="shared" si="16"/>
        <v/>
      </c>
      <c r="B544" s="3"/>
      <c r="C544" s="22"/>
      <c r="D544" s="4" t="str">
        <f>IF(C544="","",IFERROR(VLOOKUP(C544,'Calibrated Tools Register'!B:C,2,FALSE),"NOT registered"))</f>
        <v/>
      </c>
      <c r="E544" s="3"/>
      <c r="F544" s="4"/>
      <c r="G544" s="3"/>
      <c r="H544" s="3" t="str">
        <f ca="1">IFERROR(VLOOKUP(C544,'Calibrated Tools Register'!B:M,12,FALSE)-TODAY(),"")</f>
        <v/>
      </c>
      <c r="I544" s="3" t="str">
        <f t="shared" ca="1" si="17"/>
        <v/>
      </c>
      <c r="J544" s="3"/>
      <c r="K544" s="4"/>
      <c r="L544" s="3"/>
      <c r="M544" s="4"/>
      <c r="N544" s="4"/>
      <c r="O544" s="4"/>
    </row>
    <row r="545" spans="1:15">
      <c r="A545" s="3" t="str">
        <f t="shared" si="16"/>
        <v/>
      </c>
      <c r="B545" s="5"/>
      <c r="C545" s="23"/>
      <c r="D545" s="4" t="str">
        <f>IF(C545="","",IFERROR(VLOOKUP(C545,'Calibrated Tools Register'!B:C,2,FALSE),"NOT registered"))</f>
        <v/>
      </c>
      <c r="E545" s="5"/>
      <c r="F545" s="6"/>
      <c r="G545" s="5"/>
      <c r="H545" s="5" t="str">
        <f ca="1">IFERROR(VLOOKUP(C545,'Calibrated Tools Register'!B:M,12,FALSE)-TODAY(),"")</f>
        <v/>
      </c>
      <c r="I545" s="3" t="str">
        <f t="shared" ca="1" si="17"/>
        <v/>
      </c>
      <c r="J545" s="5"/>
      <c r="K545" s="6"/>
      <c r="L545" s="5"/>
      <c r="M545" s="6"/>
      <c r="N545" s="6"/>
      <c r="O545" s="6"/>
    </row>
    <row r="546" spans="1:15">
      <c r="A546" s="3" t="str">
        <f t="shared" si="16"/>
        <v/>
      </c>
      <c r="B546" s="3"/>
      <c r="C546" s="22"/>
      <c r="D546" s="4" t="str">
        <f>IF(C546="","",IFERROR(VLOOKUP(C546,'Calibrated Tools Register'!B:C,2,FALSE),"NOT registered"))</f>
        <v/>
      </c>
      <c r="E546" s="3"/>
      <c r="F546" s="4"/>
      <c r="G546" s="3"/>
      <c r="H546" s="3" t="str">
        <f ca="1">IFERROR(VLOOKUP(C546,'Calibrated Tools Register'!B:M,12,FALSE)-TODAY(),"")</f>
        <v/>
      </c>
      <c r="I546" s="3" t="str">
        <f t="shared" ca="1" si="17"/>
        <v/>
      </c>
      <c r="J546" s="3"/>
      <c r="K546" s="4"/>
      <c r="L546" s="3"/>
      <c r="M546" s="4"/>
      <c r="N546" s="4"/>
      <c r="O546" s="4"/>
    </row>
    <row r="547" spans="1:15">
      <c r="A547" s="3" t="str">
        <f t="shared" si="16"/>
        <v/>
      </c>
      <c r="B547" s="5"/>
      <c r="C547" s="23"/>
      <c r="D547" s="4" t="str">
        <f>IF(C547="","",IFERROR(VLOOKUP(C547,'Calibrated Tools Register'!B:C,2,FALSE),"NOT registered"))</f>
        <v/>
      </c>
      <c r="E547" s="5"/>
      <c r="F547" s="6"/>
      <c r="G547" s="5"/>
      <c r="H547" s="5" t="str">
        <f ca="1">IFERROR(VLOOKUP(C547,'Calibrated Tools Register'!B:M,12,FALSE)-TODAY(),"")</f>
        <v/>
      </c>
      <c r="I547" s="3" t="str">
        <f t="shared" ca="1" si="17"/>
        <v/>
      </c>
      <c r="J547" s="5"/>
      <c r="K547" s="6"/>
      <c r="L547" s="5"/>
      <c r="M547" s="6"/>
      <c r="N547" s="6"/>
      <c r="O547" s="6"/>
    </row>
    <row r="548" spans="1:15">
      <c r="A548" s="3" t="str">
        <f t="shared" si="16"/>
        <v/>
      </c>
      <c r="B548" s="3"/>
      <c r="C548" s="22"/>
      <c r="D548" s="4" t="str">
        <f>IF(C548="","",IFERROR(VLOOKUP(C548,'Calibrated Tools Register'!B:C,2,FALSE),"NOT registered"))</f>
        <v/>
      </c>
      <c r="E548" s="3"/>
      <c r="F548" s="4"/>
      <c r="G548" s="3"/>
      <c r="H548" s="3" t="str">
        <f ca="1">IFERROR(VLOOKUP(C548,'Calibrated Tools Register'!B:M,12,FALSE)-TODAY(),"")</f>
        <v/>
      </c>
      <c r="I548" s="3" t="str">
        <f t="shared" ca="1" si="17"/>
        <v/>
      </c>
      <c r="J548" s="3"/>
      <c r="K548" s="4"/>
      <c r="L548" s="3"/>
      <c r="M548" s="4"/>
      <c r="N548" s="4"/>
      <c r="O548" s="4"/>
    </row>
    <row r="549" spans="1:15">
      <c r="A549" s="3" t="str">
        <f t="shared" si="16"/>
        <v/>
      </c>
      <c r="B549" s="5"/>
      <c r="C549" s="23"/>
      <c r="D549" s="4" t="str">
        <f>IF(C549="","",IFERROR(VLOOKUP(C549,'Calibrated Tools Register'!B:C,2,FALSE),"NOT registered"))</f>
        <v/>
      </c>
      <c r="E549" s="5"/>
      <c r="F549" s="6"/>
      <c r="G549" s="5"/>
      <c r="H549" s="5" t="str">
        <f ca="1">IFERROR(VLOOKUP(C549,'Calibrated Tools Register'!B:M,12,FALSE)-TODAY(),"")</f>
        <v/>
      </c>
      <c r="I549" s="3" t="str">
        <f t="shared" ca="1" si="17"/>
        <v/>
      </c>
      <c r="J549" s="5"/>
      <c r="K549" s="6"/>
      <c r="L549" s="5"/>
      <c r="M549" s="6"/>
      <c r="N549" s="6"/>
      <c r="O549" s="6"/>
    </row>
    <row r="550" spans="1:15">
      <c r="A550" s="3" t="str">
        <f t="shared" si="16"/>
        <v/>
      </c>
      <c r="B550" s="3"/>
      <c r="C550" s="22"/>
      <c r="D550" s="4" t="str">
        <f>IF(C550="","",IFERROR(VLOOKUP(C550,'Calibrated Tools Register'!B:C,2,FALSE),"NOT registered"))</f>
        <v/>
      </c>
      <c r="E550" s="3"/>
      <c r="F550" s="4"/>
      <c r="G550" s="3"/>
      <c r="H550" s="3" t="str">
        <f ca="1">IFERROR(VLOOKUP(C550,'Calibrated Tools Register'!B:M,12,FALSE)-TODAY(),"")</f>
        <v/>
      </c>
      <c r="I550" s="3" t="str">
        <f t="shared" ca="1" si="17"/>
        <v/>
      </c>
      <c r="J550" s="3"/>
      <c r="K550" s="4"/>
      <c r="L550" s="3"/>
      <c r="M550" s="4"/>
      <c r="N550" s="4"/>
      <c r="O550" s="4"/>
    </row>
    <row r="551" spans="1:15">
      <c r="A551" s="3" t="str">
        <f t="shared" si="16"/>
        <v/>
      </c>
      <c r="B551" s="5"/>
      <c r="C551" s="23"/>
      <c r="D551" s="4" t="str">
        <f>IF(C551="","",IFERROR(VLOOKUP(C551,'Calibrated Tools Register'!B:C,2,FALSE),"NOT registered"))</f>
        <v/>
      </c>
      <c r="E551" s="5"/>
      <c r="F551" s="6"/>
      <c r="G551" s="5"/>
      <c r="H551" s="5" t="str">
        <f ca="1">IFERROR(VLOOKUP(C551,'Calibrated Tools Register'!B:M,12,FALSE)-TODAY(),"")</f>
        <v/>
      </c>
      <c r="I551" s="3" t="str">
        <f t="shared" ca="1" si="17"/>
        <v/>
      </c>
      <c r="J551" s="5"/>
      <c r="K551" s="6"/>
      <c r="L551" s="5"/>
      <c r="M551" s="6"/>
      <c r="N551" s="6"/>
      <c r="O551" s="6"/>
    </row>
    <row r="552" spans="1:15">
      <c r="A552" s="3" t="str">
        <f t="shared" si="16"/>
        <v/>
      </c>
      <c r="B552" s="3"/>
      <c r="C552" s="22"/>
      <c r="D552" s="4" t="str">
        <f>IF(C552="","",IFERROR(VLOOKUP(C552,'Calibrated Tools Register'!B:C,2,FALSE),"NOT registered"))</f>
        <v/>
      </c>
      <c r="E552" s="3"/>
      <c r="F552" s="4"/>
      <c r="G552" s="3"/>
      <c r="H552" s="3" t="str">
        <f ca="1">IFERROR(VLOOKUP(C552,'Calibrated Tools Register'!B:M,12,FALSE)-TODAY(),"")</f>
        <v/>
      </c>
      <c r="I552" s="3" t="str">
        <f t="shared" ca="1" si="17"/>
        <v/>
      </c>
      <c r="J552" s="3"/>
      <c r="K552" s="4"/>
      <c r="L552" s="3"/>
      <c r="M552" s="4"/>
      <c r="N552" s="4"/>
      <c r="O552" s="4"/>
    </row>
    <row r="553" spans="1:15">
      <c r="A553" s="3" t="str">
        <f t="shared" si="16"/>
        <v/>
      </c>
      <c r="B553" s="5"/>
      <c r="C553" s="23"/>
      <c r="D553" s="4" t="str">
        <f>IF(C553="","",IFERROR(VLOOKUP(C553,'Calibrated Tools Register'!B:C,2,FALSE),"NOT registered"))</f>
        <v/>
      </c>
      <c r="E553" s="5"/>
      <c r="F553" s="6"/>
      <c r="G553" s="5"/>
      <c r="H553" s="5" t="str">
        <f ca="1">IFERROR(VLOOKUP(C553,'Calibrated Tools Register'!B:M,12,FALSE)-TODAY(),"")</f>
        <v/>
      </c>
      <c r="I553" s="3" t="str">
        <f t="shared" ca="1" si="17"/>
        <v/>
      </c>
      <c r="J553" s="5"/>
      <c r="K553" s="6"/>
      <c r="L553" s="5"/>
      <c r="M553" s="6"/>
      <c r="N553" s="6"/>
      <c r="O553" s="6"/>
    </row>
    <row r="554" spans="1:15">
      <c r="A554" s="3" t="str">
        <f t="shared" si="16"/>
        <v/>
      </c>
      <c r="B554" s="3"/>
      <c r="C554" s="22"/>
      <c r="D554" s="4" t="str">
        <f>IF(C554="","",IFERROR(VLOOKUP(C554,'Calibrated Tools Register'!B:C,2,FALSE),"NOT registered"))</f>
        <v/>
      </c>
      <c r="E554" s="3"/>
      <c r="F554" s="4"/>
      <c r="G554" s="3"/>
      <c r="H554" s="3" t="str">
        <f ca="1">IFERROR(VLOOKUP(C554,'Calibrated Tools Register'!B:M,12,FALSE)-TODAY(),"")</f>
        <v/>
      </c>
      <c r="I554" s="3" t="str">
        <f t="shared" ca="1" si="17"/>
        <v/>
      </c>
      <c r="J554" s="3"/>
      <c r="K554" s="4"/>
      <c r="L554" s="3"/>
      <c r="M554" s="4"/>
      <c r="N554" s="4"/>
      <c r="O554" s="4"/>
    </row>
    <row r="555" spans="1:15">
      <c r="A555" s="3" t="str">
        <f t="shared" si="16"/>
        <v/>
      </c>
      <c r="B555" s="5"/>
      <c r="C555" s="23"/>
      <c r="D555" s="4" t="str">
        <f>IF(C555="","",IFERROR(VLOOKUP(C555,'Calibrated Tools Register'!B:C,2,FALSE),"NOT registered"))</f>
        <v/>
      </c>
      <c r="E555" s="5"/>
      <c r="F555" s="6"/>
      <c r="G555" s="5"/>
      <c r="H555" s="5" t="str">
        <f ca="1">IFERROR(VLOOKUP(C555,'Calibrated Tools Register'!B:M,12,FALSE)-TODAY(),"")</f>
        <v/>
      </c>
      <c r="I555" s="3" t="str">
        <f t="shared" ca="1" si="17"/>
        <v/>
      </c>
      <c r="J555" s="5"/>
      <c r="K555" s="6"/>
      <c r="L555" s="5"/>
      <c r="M555" s="6"/>
      <c r="N555" s="6"/>
      <c r="O555" s="6"/>
    </row>
    <row r="556" spans="1:15">
      <c r="A556" s="3" t="str">
        <f t="shared" si="16"/>
        <v/>
      </c>
      <c r="B556" s="3"/>
      <c r="C556" s="22"/>
      <c r="D556" s="4" t="str">
        <f>IF(C556="","",IFERROR(VLOOKUP(C556,'Calibrated Tools Register'!B:C,2,FALSE),"NOT registered"))</f>
        <v/>
      </c>
      <c r="E556" s="3"/>
      <c r="F556" s="4"/>
      <c r="G556" s="3"/>
      <c r="H556" s="3" t="str">
        <f ca="1">IFERROR(VLOOKUP(C556,'Calibrated Tools Register'!B:M,12,FALSE)-TODAY(),"")</f>
        <v/>
      </c>
      <c r="I556" s="3" t="str">
        <f t="shared" ca="1" si="17"/>
        <v/>
      </c>
      <c r="J556" s="3"/>
      <c r="K556" s="4"/>
      <c r="L556" s="3"/>
      <c r="M556" s="4"/>
      <c r="N556" s="4"/>
      <c r="O556" s="4"/>
    </row>
    <row r="557" spans="1:15">
      <c r="A557" s="3" t="str">
        <f t="shared" si="16"/>
        <v/>
      </c>
      <c r="B557" s="5"/>
      <c r="C557" s="23"/>
      <c r="D557" s="4" t="str">
        <f>IF(C557="","",IFERROR(VLOOKUP(C557,'Calibrated Tools Register'!B:C,2,FALSE),"NOT registered"))</f>
        <v/>
      </c>
      <c r="E557" s="5"/>
      <c r="F557" s="6"/>
      <c r="G557" s="5"/>
      <c r="H557" s="5" t="str">
        <f ca="1">IFERROR(VLOOKUP(C557,'Calibrated Tools Register'!B:M,12,FALSE)-TODAY(),"")</f>
        <v/>
      </c>
      <c r="I557" s="3" t="str">
        <f t="shared" ca="1" si="17"/>
        <v/>
      </c>
      <c r="J557" s="5"/>
      <c r="K557" s="6"/>
      <c r="L557" s="5"/>
      <c r="M557" s="6"/>
      <c r="N557" s="6"/>
      <c r="O557" s="6"/>
    </row>
    <row r="558" spans="1:15">
      <c r="A558" s="3" t="str">
        <f t="shared" si="16"/>
        <v/>
      </c>
      <c r="B558" s="3"/>
      <c r="C558" s="22"/>
      <c r="D558" s="4" t="str">
        <f>IF(C558="","",IFERROR(VLOOKUP(C558,'Calibrated Tools Register'!B:C,2,FALSE),"NOT registered"))</f>
        <v/>
      </c>
      <c r="E558" s="3"/>
      <c r="F558" s="4"/>
      <c r="G558" s="3"/>
      <c r="H558" s="3" t="str">
        <f ca="1">IFERROR(VLOOKUP(C558,'Calibrated Tools Register'!B:M,12,FALSE)-TODAY(),"")</f>
        <v/>
      </c>
      <c r="I558" s="3" t="str">
        <f t="shared" ca="1" si="17"/>
        <v/>
      </c>
      <c r="J558" s="3"/>
      <c r="K558" s="4"/>
      <c r="L558" s="3"/>
      <c r="M558" s="4"/>
      <c r="N558" s="4"/>
      <c r="O558" s="4"/>
    </row>
    <row r="559" spans="1:15">
      <c r="A559" s="3" t="str">
        <f t="shared" si="16"/>
        <v/>
      </c>
      <c r="B559" s="5"/>
      <c r="C559" s="23"/>
      <c r="D559" s="4" t="str">
        <f>IF(C559="","",IFERROR(VLOOKUP(C559,'Calibrated Tools Register'!B:C,2,FALSE),"NOT registered"))</f>
        <v/>
      </c>
      <c r="E559" s="5"/>
      <c r="F559" s="6"/>
      <c r="G559" s="5"/>
      <c r="H559" s="5" t="str">
        <f ca="1">IFERROR(VLOOKUP(C559,'Calibrated Tools Register'!B:M,12,FALSE)-TODAY(),"")</f>
        <v/>
      </c>
      <c r="I559" s="3" t="str">
        <f t="shared" ca="1" si="17"/>
        <v/>
      </c>
      <c r="J559" s="5"/>
      <c r="K559" s="6"/>
      <c r="L559" s="5"/>
      <c r="M559" s="6"/>
      <c r="N559" s="6"/>
      <c r="O559" s="6"/>
    </row>
    <row r="560" spans="1:15">
      <c r="A560" s="3" t="str">
        <f t="shared" si="16"/>
        <v/>
      </c>
      <c r="B560" s="3"/>
      <c r="C560" s="22"/>
      <c r="D560" s="4" t="str">
        <f>IF(C560="","",IFERROR(VLOOKUP(C560,'Calibrated Tools Register'!B:C,2,FALSE),"NOT registered"))</f>
        <v/>
      </c>
      <c r="E560" s="3"/>
      <c r="F560" s="4"/>
      <c r="G560" s="3"/>
      <c r="H560" s="3" t="str">
        <f ca="1">IFERROR(VLOOKUP(C560,'Calibrated Tools Register'!B:M,12,FALSE)-TODAY(),"")</f>
        <v/>
      </c>
      <c r="I560" s="3" t="str">
        <f t="shared" ca="1" si="17"/>
        <v/>
      </c>
      <c r="J560" s="3"/>
      <c r="K560" s="4"/>
      <c r="L560" s="3"/>
      <c r="M560" s="4"/>
      <c r="N560" s="4"/>
      <c r="O560" s="4"/>
    </row>
    <row r="561" spans="1:15">
      <c r="A561" s="3" t="str">
        <f t="shared" si="16"/>
        <v/>
      </c>
      <c r="B561" s="5"/>
      <c r="C561" s="23"/>
      <c r="D561" s="4" t="str">
        <f>IF(C561="","",IFERROR(VLOOKUP(C561,'Calibrated Tools Register'!B:C,2,FALSE),"NOT registered"))</f>
        <v/>
      </c>
      <c r="E561" s="5"/>
      <c r="F561" s="6"/>
      <c r="G561" s="5"/>
      <c r="H561" s="5" t="str">
        <f ca="1">IFERROR(VLOOKUP(C561,'Calibrated Tools Register'!B:M,12,FALSE)-TODAY(),"")</f>
        <v/>
      </c>
      <c r="I561" s="3" t="str">
        <f t="shared" ca="1" si="17"/>
        <v/>
      </c>
      <c r="J561" s="5"/>
      <c r="K561" s="6"/>
      <c r="L561" s="5"/>
      <c r="M561" s="6"/>
      <c r="N561" s="6"/>
      <c r="O561" s="6"/>
    </row>
    <row r="562" spans="1:15">
      <c r="A562" s="3" t="str">
        <f t="shared" si="16"/>
        <v/>
      </c>
      <c r="B562" s="3"/>
      <c r="C562" s="22"/>
      <c r="D562" s="4" t="str">
        <f>IF(C562="","",IFERROR(VLOOKUP(C562,'Calibrated Tools Register'!B:C,2,FALSE),"NOT registered"))</f>
        <v/>
      </c>
      <c r="E562" s="3"/>
      <c r="F562" s="4"/>
      <c r="G562" s="3"/>
      <c r="H562" s="3" t="str">
        <f ca="1">IFERROR(VLOOKUP(C562,'Calibrated Tools Register'!B:M,12,FALSE)-TODAY(),"")</f>
        <v/>
      </c>
      <c r="I562" s="3" t="str">
        <f t="shared" ca="1" si="17"/>
        <v/>
      </c>
      <c r="J562" s="3"/>
      <c r="K562" s="4"/>
      <c r="L562" s="3"/>
      <c r="M562" s="4"/>
      <c r="N562" s="4"/>
      <c r="O562" s="4"/>
    </row>
    <row r="563" spans="1:15">
      <c r="A563" s="3" t="str">
        <f t="shared" si="16"/>
        <v/>
      </c>
      <c r="B563" s="5"/>
      <c r="C563" s="23"/>
      <c r="D563" s="4" t="str">
        <f>IF(C563="","",IFERROR(VLOOKUP(C563,'Calibrated Tools Register'!B:C,2,FALSE),"NOT registered"))</f>
        <v/>
      </c>
      <c r="E563" s="5"/>
      <c r="F563" s="6"/>
      <c r="G563" s="5"/>
      <c r="H563" s="5" t="str">
        <f ca="1">IFERROR(VLOOKUP(C563,'Calibrated Tools Register'!B:M,12,FALSE)-TODAY(),"")</f>
        <v/>
      </c>
      <c r="I563" s="3" t="str">
        <f t="shared" ca="1" si="17"/>
        <v/>
      </c>
      <c r="J563" s="5"/>
      <c r="K563" s="6"/>
      <c r="L563" s="5"/>
      <c r="M563" s="6"/>
      <c r="N563" s="6"/>
      <c r="O563" s="6"/>
    </row>
    <row r="564" spans="1:15">
      <c r="A564" s="3" t="str">
        <f t="shared" si="16"/>
        <v/>
      </c>
      <c r="B564" s="3"/>
      <c r="C564" s="22"/>
      <c r="D564" s="4" t="str">
        <f>IF(C564="","",IFERROR(VLOOKUP(C564,'Calibrated Tools Register'!B:C,2,FALSE),"NOT registered"))</f>
        <v/>
      </c>
      <c r="E564" s="3"/>
      <c r="F564" s="4"/>
      <c r="G564" s="3"/>
      <c r="H564" s="3" t="str">
        <f ca="1">IFERROR(VLOOKUP(C564,'Calibrated Tools Register'!B:M,12,FALSE)-TODAY(),"")</f>
        <v/>
      </c>
      <c r="I564" s="3" t="str">
        <f t="shared" ca="1" si="17"/>
        <v/>
      </c>
      <c r="J564" s="3"/>
      <c r="K564" s="4"/>
      <c r="L564" s="3"/>
      <c r="M564" s="4"/>
      <c r="N564" s="4"/>
      <c r="O564" s="4"/>
    </row>
    <row r="565" spans="1:15">
      <c r="A565" s="3" t="str">
        <f t="shared" si="16"/>
        <v/>
      </c>
      <c r="B565" s="5"/>
      <c r="C565" s="23"/>
      <c r="D565" s="4" t="str">
        <f>IF(C565="","",IFERROR(VLOOKUP(C565,'Calibrated Tools Register'!B:C,2,FALSE),"NOT registered"))</f>
        <v/>
      </c>
      <c r="E565" s="5"/>
      <c r="F565" s="6"/>
      <c r="G565" s="5"/>
      <c r="H565" s="5" t="str">
        <f ca="1">IFERROR(VLOOKUP(C565,'Calibrated Tools Register'!B:M,12,FALSE)-TODAY(),"")</f>
        <v/>
      </c>
      <c r="I565" s="3" t="str">
        <f t="shared" ca="1" si="17"/>
        <v/>
      </c>
      <c r="J565" s="5"/>
      <c r="K565" s="6"/>
      <c r="L565" s="5"/>
      <c r="M565" s="6"/>
      <c r="N565" s="6"/>
      <c r="O565" s="6"/>
    </row>
    <row r="566" spans="1:15">
      <c r="A566" s="3" t="str">
        <f t="shared" si="16"/>
        <v/>
      </c>
      <c r="B566" s="3"/>
      <c r="C566" s="22"/>
      <c r="D566" s="4" t="str">
        <f>IF(C566="","",IFERROR(VLOOKUP(C566,'Calibrated Tools Register'!B:C,2,FALSE),"NOT registered"))</f>
        <v/>
      </c>
      <c r="E566" s="3"/>
      <c r="F566" s="4"/>
      <c r="G566" s="3"/>
      <c r="H566" s="3" t="str">
        <f ca="1">IFERROR(VLOOKUP(C566,'Calibrated Tools Register'!B:M,12,FALSE)-TODAY(),"")</f>
        <v/>
      </c>
      <c r="I566" s="3" t="str">
        <f t="shared" ca="1" si="17"/>
        <v/>
      </c>
      <c r="J566" s="3"/>
      <c r="K566" s="4"/>
      <c r="L566" s="3"/>
      <c r="M566" s="4"/>
      <c r="N566" s="4"/>
      <c r="O566" s="4"/>
    </row>
    <row r="567" spans="1:15">
      <c r="A567" s="3" t="str">
        <f t="shared" si="16"/>
        <v/>
      </c>
      <c r="B567" s="5"/>
      <c r="C567" s="23"/>
      <c r="D567" s="4" t="str">
        <f>IF(C567="","",IFERROR(VLOOKUP(C567,'Calibrated Tools Register'!B:C,2,FALSE),"NOT registered"))</f>
        <v/>
      </c>
      <c r="E567" s="5"/>
      <c r="F567" s="6"/>
      <c r="G567" s="5"/>
      <c r="H567" s="5" t="str">
        <f ca="1">IFERROR(VLOOKUP(C567,'Calibrated Tools Register'!B:M,12,FALSE)-TODAY(),"")</f>
        <v/>
      </c>
      <c r="I567" s="3" t="str">
        <f t="shared" ca="1" si="17"/>
        <v/>
      </c>
      <c r="J567" s="5"/>
      <c r="K567" s="6"/>
      <c r="L567" s="5"/>
      <c r="M567" s="6"/>
      <c r="N567" s="6"/>
      <c r="O567" s="6"/>
    </row>
    <row r="568" spans="1:15">
      <c r="A568" s="3" t="str">
        <f t="shared" si="16"/>
        <v/>
      </c>
      <c r="B568" s="3"/>
      <c r="C568" s="22"/>
      <c r="D568" s="4" t="str">
        <f>IF(C568="","",IFERROR(VLOOKUP(C568,'Calibrated Tools Register'!B:C,2,FALSE),"NOT registered"))</f>
        <v/>
      </c>
      <c r="E568" s="3"/>
      <c r="F568" s="4"/>
      <c r="G568" s="3"/>
      <c r="H568" s="3" t="str">
        <f ca="1">IFERROR(VLOOKUP(C568,'Calibrated Tools Register'!B:M,12,FALSE)-TODAY(),"")</f>
        <v/>
      </c>
      <c r="I568" s="3" t="str">
        <f t="shared" ca="1" si="17"/>
        <v/>
      </c>
      <c r="J568" s="3"/>
      <c r="K568" s="4"/>
      <c r="L568" s="3"/>
      <c r="M568" s="4"/>
      <c r="N568" s="4"/>
      <c r="O568" s="4"/>
    </row>
    <row r="569" spans="1:15">
      <c r="A569" s="3" t="str">
        <f t="shared" si="16"/>
        <v/>
      </c>
      <c r="B569" s="5"/>
      <c r="C569" s="23"/>
      <c r="D569" s="4" t="str">
        <f>IF(C569="","",IFERROR(VLOOKUP(C569,'Calibrated Tools Register'!B:C,2,FALSE),"NOT registered"))</f>
        <v/>
      </c>
      <c r="E569" s="5"/>
      <c r="F569" s="6"/>
      <c r="G569" s="5"/>
      <c r="H569" s="5" t="str">
        <f ca="1">IFERROR(VLOOKUP(C569,'Calibrated Tools Register'!B:M,12,FALSE)-TODAY(),"")</f>
        <v/>
      </c>
      <c r="I569" s="3" t="str">
        <f t="shared" ca="1" si="17"/>
        <v/>
      </c>
      <c r="J569" s="5"/>
      <c r="K569" s="6"/>
      <c r="L569" s="5"/>
      <c r="M569" s="6"/>
      <c r="N569" s="6"/>
      <c r="O569" s="6"/>
    </row>
    <row r="570" spans="1:15">
      <c r="A570" s="3" t="str">
        <f t="shared" si="16"/>
        <v/>
      </c>
      <c r="B570" s="3"/>
      <c r="C570" s="22"/>
      <c r="D570" s="4" t="str">
        <f>IF(C570="","",IFERROR(VLOOKUP(C570,'Calibrated Tools Register'!B:C,2,FALSE),"NOT registered"))</f>
        <v/>
      </c>
      <c r="E570" s="3"/>
      <c r="F570" s="4"/>
      <c r="G570" s="3"/>
      <c r="H570" s="3" t="str">
        <f ca="1">IFERROR(VLOOKUP(C570,'Calibrated Tools Register'!B:M,12,FALSE)-TODAY(),"")</f>
        <v/>
      </c>
      <c r="I570" s="3" t="str">
        <f t="shared" ca="1" si="17"/>
        <v/>
      </c>
      <c r="J570" s="3"/>
      <c r="K570" s="4"/>
      <c r="L570" s="3"/>
      <c r="M570" s="4"/>
      <c r="N570" s="4"/>
      <c r="O570" s="4"/>
    </row>
    <row r="571" spans="1:15">
      <c r="A571" s="3" t="str">
        <f t="shared" si="16"/>
        <v/>
      </c>
      <c r="B571" s="5"/>
      <c r="C571" s="23"/>
      <c r="D571" s="4" t="str">
        <f>IF(C571="","",IFERROR(VLOOKUP(C571,'Calibrated Tools Register'!B:C,2,FALSE),"NOT registered"))</f>
        <v/>
      </c>
      <c r="E571" s="5"/>
      <c r="F571" s="6"/>
      <c r="G571" s="5"/>
      <c r="H571" s="5" t="str">
        <f ca="1">IFERROR(VLOOKUP(C571,'Calibrated Tools Register'!B:M,12,FALSE)-TODAY(),"")</f>
        <v/>
      </c>
      <c r="I571" s="3" t="str">
        <f t="shared" ca="1" si="17"/>
        <v/>
      </c>
      <c r="J571" s="5"/>
      <c r="K571" s="6"/>
      <c r="L571" s="5"/>
      <c r="M571" s="6"/>
      <c r="N571" s="6"/>
      <c r="O571" s="6"/>
    </row>
    <row r="572" spans="1:15">
      <c r="A572" s="3" t="str">
        <f t="shared" si="16"/>
        <v/>
      </c>
      <c r="B572" s="3"/>
      <c r="C572" s="22"/>
      <c r="D572" s="4" t="str">
        <f>IF(C572="","",IFERROR(VLOOKUP(C572,'Calibrated Tools Register'!B:C,2,FALSE),"NOT registered"))</f>
        <v/>
      </c>
      <c r="E572" s="3"/>
      <c r="F572" s="4"/>
      <c r="G572" s="3"/>
      <c r="H572" s="3" t="str">
        <f ca="1">IFERROR(VLOOKUP(C572,'Calibrated Tools Register'!B:M,12,FALSE)-TODAY(),"")</f>
        <v/>
      </c>
      <c r="I572" s="3" t="str">
        <f t="shared" ca="1" si="17"/>
        <v/>
      </c>
      <c r="J572" s="3"/>
      <c r="K572" s="4"/>
      <c r="L572" s="3"/>
      <c r="M572" s="4"/>
      <c r="N572" s="4"/>
      <c r="O572" s="4"/>
    </row>
    <row r="573" spans="1:15">
      <c r="A573" s="3" t="str">
        <f t="shared" si="16"/>
        <v/>
      </c>
      <c r="B573" s="5"/>
      <c r="C573" s="23"/>
      <c r="D573" s="4" t="str">
        <f>IF(C573="","",IFERROR(VLOOKUP(C573,'Calibrated Tools Register'!B:C,2,FALSE),"NOT registered"))</f>
        <v/>
      </c>
      <c r="E573" s="5"/>
      <c r="F573" s="6"/>
      <c r="G573" s="5"/>
      <c r="H573" s="5" t="str">
        <f ca="1">IFERROR(VLOOKUP(C573,'Calibrated Tools Register'!B:M,12,FALSE)-TODAY(),"")</f>
        <v/>
      </c>
      <c r="I573" s="3" t="str">
        <f t="shared" ca="1" si="17"/>
        <v/>
      </c>
      <c r="J573" s="5"/>
      <c r="K573" s="6"/>
      <c r="L573" s="5"/>
      <c r="M573" s="6"/>
      <c r="N573" s="6"/>
      <c r="O573" s="6"/>
    </row>
    <row r="574" spans="1:15">
      <c r="A574" s="3" t="str">
        <f t="shared" si="16"/>
        <v/>
      </c>
      <c r="B574" s="3"/>
      <c r="C574" s="22"/>
      <c r="D574" s="4" t="str">
        <f>IF(C574="","",IFERROR(VLOOKUP(C574,'Calibrated Tools Register'!B:C,2,FALSE),"NOT registered"))</f>
        <v/>
      </c>
      <c r="E574" s="3"/>
      <c r="F574" s="4"/>
      <c r="G574" s="3"/>
      <c r="H574" s="3" t="str">
        <f ca="1">IFERROR(VLOOKUP(C574,'Calibrated Tools Register'!B:M,12,FALSE)-TODAY(),"")</f>
        <v/>
      </c>
      <c r="I574" s="3" t="str">
        <f t="shared" ca="1" si="17"/>
        <v/>
      </c>
      <c r="J574" s="3"/>
      <c r="K574" s="4"/>
      <c r="L574" s="3"/>
      <c r="M574" s="4"/>
      <c r="N574" s="4"/>
      <c r="O574" s="4"/>
    </row>
    <row r="575" spans="1:15">
      <c r="A575" s="3" t="str">
        <f t="shared" si="16"/>
        <v/>
      </c>
      <c r="B575" s="5"/>
      <c r="C575" s="23"/>
      <c r="D575" s="4" t="str">
        <f>IF(C575="","",IFERROR(VLOOKUP(C575,'Calibrated Tools Register'!B:C,2,FALSE),"NOT registered"))</f>
        <v/>
      </c>
      <c r="E575" s="5"/>
      <c r="F575" s="6"/>
      <c r="G575" s="5"/>
      <c r="H575" s="5" t="str">
        <f ca="1">IFERROR(VLOOKUP(C575,'Calibrated Tools Register'!B:M,12,FALSE)-TODAY(),"")</f>
        <v/>
      </c>
      <c r="I575" s="3" t="str">
        <f t="shared" ca="1" si="17"/>
        <v/>
      </c>
      <c r="J575" s="5"/>
      <c r="K575" s="6"/>
      <c r="L575" s="5"/>
      <c r="M575" s="6"/>
      <c r="N575" s="6"/>
      <c r="O575" s="6"/>
    </row>
    <row r="576" spans="1:15">
      <c r="A576" s="3" t="str">
        <f t="shared" si="16"/>
        <v/>
      </c>
      <c r="B576" s="3"/>
      <c r="C576" s="22"/>
      <c r="D576" s="4" t="str">
        <f>IF(C576="","",IFERROR(VLOOKUP(C576,'Calibrated Tools Register'!B:C,2,FALSE),"NOT registered"))</f>
        <v/>
      </c>
      <c r="E576" s="3"/>
      <c r="F576" s="4"/>
      <c r="G576" s="3"/>
      <c r="H576" s="3" t="str">
        <f ca="1">IFERROR(VLOOKUP(C576,'Calibrated Tools Register'!B:M,12,FALSE)-TODAY(),"")</f>
        <v/>
      </c>
      <c r="I576" s="3" t="str">
        <f t="shared" ca="1" si="17"/>
        <v/>
      </c>
      <c r="J576" s="3"/>
      <c r="K576" s="4"/>
      <c r="L576" s="3"/>
      <c r="M576" s="4"/>
      <c r="N576" s="4"/>
      <c r="O576" s="4"/>
    </row>
    <row r="577" spans="1:15">
      <c r="A577" s="3" t="str">
        <f t="shared" si="16"/>
        <v/>
      </c>
      <c r="B577" s="5"/>
      <c r="C577" s="23"/>
      <c r="D577" s="4" t="str">
        <f>IF(C577="","",IFERROR(VLOOKUP(C577,'Calibrated Tools Register'!B:C,2,FALSE),"NOT registered"))</f>
        <v/>
      </c>
      <c r="E577" s="5"/>
      <c r="F577" s="6"/>
      <c r="G577" s="5"/>
      <c r="H577" s="5" t="str">
        <f ca="1">IFERROR(VLOOKUP(C577,'Calibrated Tools Register'!B:M,12,FALSE)-TODAY(),"")</f>
        <v/>
      </c>
      <c r="I577" s="3" t="str">
        <f t="shared" ca="1" si="17"/>
        <v/>
      </c>
      <c r="J577" s="5"/>
      <c r="K577" s="6"/>
      <c r="L577" s="5"/>
      <c r="M577" s="6"/>
      <c r="N577" s="6"/>
      <c r="O577" s="6"/>
    </row>
    <row r="578" spans="1:15">
      <c r="A578" s="3" t="str">
        <f t="shared" si="16"/>
        <v/>
      </c>
      <c r="B578" s="3"/>
      <c r="C578" s="22"/>
      <c r="D578" s="4" t="str">
        <f>IF(C578="","",IFERROR(VLOOKUP(C578,'Calibrated Tools Register'!B:C,2,FALSE),"NOT registered"))</f>
        <v/>
      </c>
      <c r="E578" s="3"/>
      <c r="F578" s="4"/>
      <c r="G578" s="3"/>
      <c r="H578" s="3" t="str">
        <f ca="1">IFERROR(VLOOKUP(C578,'Calibrated Tools Register'!B:M,12,FALSE)-TODAY(),"")</f>
        <v/>
      </c>
      <c r="I578" s="3" t="str">
        <f t="shared" ca="1" si="17"/>
        <v/>
      </c>
      <c r="J578" s="3"/>
      <c r="K578" s="4"/>
      <c r="L578" s="3"/>
      <c r="M578" s="4"/>
      <c r="N578" s="4"/>
      <c r="O578" s="4"/>
    </row>
    <row r="579" spans="1:15">
      <c r="A579" s="3" t="str">
        <f t="shared" si="16"/>
        <v/>
      </c>
      <c r="B579" s="5"/>
      <c r="C579" s="23"/>
      <c r="D579" s="4" t="str">
        <f>IF(C579="","",IFERROR(VLOOKUP(C579,'Calibrated Tools Register'!B:C,2,FALSE),"NOT registered"))</f>
        <v/>
      </c>
      <c r="E579" s="5"/>
      <c r="F579" s="6"/>
      <c r="G579" s="5"/>
      <c r="H579" s="5" t="str">
        <f ca="1">IFERROR(VLOOKUP(C579,'Calibrated Tools Register'!B:M,12,FALSE)-TODAY(),"")</f>
        <v/>
      </c>
      <c r="I579" s="3" t="str">
        <f t="shared" ca="1" si="17"/>
        <v/>
      </c>
      <c r="J579" s="5"/>
      <c r="K579" s="6"/>
      <c r="L579" s="5"/>
      <c r="M579" s="6"/>
      <c r="N579" s="6"/>
      <c r="O579" s="6"/>
    </row>
    <row r="580" spans="1:15">
      <c r="A580" s="3" t="str">
        <f t="shared" ref="A580:A643" si="18">IF(C580="","",ROW(C580)-3)</f>
        <v/>
      </c>
      <c r="B580" s="3"/>
      <c r="C580" s="22"/>
      <c r="D580" s="4" t="str">
        <f>IF(C580="","",IFERROR(VLOOKUP(C580,'Calibrated Tools Register'!B:C,2,FALSE),"NOT registered"))</f>
        <v/>
      </c>
      <c r="E580" s="3"/>
      <c r="F580" s="4"/>
      <c r="G580" s="3"/>
      <c r="H580" s="3" t="str">
        <f ca="1">IFERROR(VLOOKUP(C580,'Calibrated Tools Register'!B:M,12,FALSE)-TODAY(),"")</f>
        <v/>
      </c>
      <c r="I580" s="3" t="str">
        <f t="shared" ca="1" si="17"/>
        <v/>
      </c>
      <c r="J580" s="3"/>
      <c r="K580" s="4"/>
      <c r="L580" s="3"/>
      <c r="M580" s="4"/>
      <c r="N580" s="4"/>
      <c r="O580" s="4"/>
    </row>
    <row r="581" spans="1:15">
      <c r="A581" s="3" t="str">
        <f t="shared" si="18"/>
        <v/>
      </c>
      <c r="B581" s="5"/>
      <c r="C581" s="23"/>
      <c r="D581" s="4" t="str">
        <f>IF(C581="","",IFERROR(VLOOKUP(C581,'Calibrated Tools Register'!B:C,2,FALSE),"NOT registered"))</f>
        <v/>
      </c>
      <c r="E581" s="5"/>
      <c r="F581" s="6"/>
      <c r="G581" s="5"/>
      <c r="H581" s="5" t="str">
        <f ca="1">IFERROR(VLOOKUP(C581,'Calibrated Tools Register'!B:M,12,FALSE)-TODAY(),"")</f>
        <v/>
      </c>
      <c r="I581" s="3" t="str">
        <f t="shared" ref="I581:I644" ca="1" si="19">IF(H581="","",IF(H581&lt;=0,"Urgent",IF(H581&lt;=30,"High",IF(H581&lt;=45,"Medium","Low"))))</f>
        <v/>
      </c>
      <c r="J581" s="5"/>
      <c r="K581" s="6"/>
      <c r="L581" s="5"/>
      <c r="M581" s="6"/>
      <c r="N581" s="6"/>
      <c r="O581" s="6"/>
    </row>
    <row r="582" spans="1:15">
      <c r="A582" s="3" t="str">
        <f t="shared" si="18"/>
        <v/>
      </c>
      <c r="B582" s="3"/>
      <c r="C582" s="22"/>
      <c r="D582" s="4" t="str">
        <f>IF(C582="","",IFERROR(VLOOKUP(C582,'Calibrated Tools Register'!B:C,2,FALSE),"NOT registered"))</f>
        <v/>
      </c>
      <c r="E582" s="3"/>
      <c r="F582" s="4"/>
      <c r="G582" s="3"/>
      <c r="H582" s="3" t="str">
        <f ca="1">IFERROR(VLOOKUP(C582,'Calibrated Tools Register'!B:M,12,FALSE)-TODAY(),"")</f>
        <v/>
      </c>
      <c r="I582" s="3" t="str">
        <f t="shared" ca="1" si="19"/>
        <v/>
      </c>
      <c r="J582" s="3"/>
      <c r="K582" s="4"/>
      <c r="L582" s="3"/>
      <c r="M582" s="4"/>
      <c r="N582" s="4"/>
      <c r="O582" s="4"/>
    </row>
    <row r="583" spans="1:15">
      <c r="A583" s="3" t="str">
        <f t="shared" si="18"/>
        <v/>
      </c>
      <c r="B583" s="5"/>
      <c r="C583" s="23"/>
      <c r="D583" s="4" t="str">
        <f>IF(C583="","",IFERROR(VLOOKUP(C583,'Calibrated Tools Register'!B:C,2,FALSE),"NOT registered"))</f>
        <v/>
      </c>
      <c r="E583" s="5"/>
      <c r="F583" s="6"/>
      <c r="G583" s="5"/>
      <c r="H583" s="5" t="str">
        <f ca="1">IFERROR(VLOOKUP(C583,'Calibrated Tools Register'!B:M,12,FALSE)-TODAY(),"")</f>
        <v/>
      </c>
      <c r="I583" s="3" t="str">
        <f t="shared" ca="1" si="19"/>
        <v/>
      </c>
      <c r="J583" s="5"/>
      <c r="K583" s="6"/>
      <c r="L583" s="5"/>
      <c r="M583" s="6"/>
      <c r="N583" s="6"/>
      <c r="O583" s="6"/>
    </row>
    <row r="584" spans="1:15">
      <c r="A584" s="3" t="str">
        <f t="shared" si="18"/>
        <v/>
      </c>
      <c r="B584" s="3"/>
      <c r="C584" s="22"/>
      <c r="D584" s="4" t="str">
        <f>IF(C584="","",IFERROR(VLOOKUP(C584,'Calibrated Tools Register'!B:C,2,FALSE),"NOT registered"))</f>
        <v/>
      </c>
      <c r="E584" s="3"/>
      <c r="F584" s="4"/>
      <c r="G584" s="3"/>
      <c r="H584" s="3" t="str">
        <f ca="1">IFERROR(VLOOKUP(C584,'Calibrated Tools Register'!B:M,12,FALSE)-TODAY(),"")</f>
        <v/>
      </c>
      <c r="I584" s="3" t="str">
        <f t="shared" ca="1" si="19"/>
        <v/>
      </c>
      <c r="J584" s="3"/>
      <c r="K584" s="4"/>
      <c r="L584" s="3"/>
      <c r="M584" s="4"/>
      <c r="N584" s="4"/>
      <c r="O584" s="4"/>
    </row>
    <row r="585" spans="1:15">
      <c r="A585" s="3" t="str">
        <f t="shared" si="18"/>
        <v/>
      </c>
      <c r="B585" s="5"/>
      <c r="C585" s="23"/>
      <c r="D585" s="4" t="str">
        <f>IF(C585="","",IFERROR(VLOOKUP(C585,'Calibrated Tools Register'!B:C,2,FALSE),"NOT registered"))</f>
        <v/>
      </c>
      <c r="E585" s="5"/>
      <c r="F585" s="6"/>
      <c r="G585" s="5"/>
      <c r="H585" s="5" t="str">
        <f ca="1">IFERROR(VLOOKUP(C585,'Calibrated Tools Register'!B:M,12,FALSE)-TODAY(),"")</f>
        <v/>
      </c>
      <c r="I585" s="3" t="str">
        <f t="shared" ca="1" si="19"/>
        <v/>
      </c>
      <c r="J585" s="5"/>
      <c r="K585" s="6"/>
      <c r="L585" s="5"/>
      <c r="M585" s="6"/>
      <c r="N585" s="6"/>
      <c r="O585" s="6"/>
    </row>
    <row r="586" spans="1:15">
      <c r="A586" s="3" t="str">
        <f t="shared" si="18"/>
        <v/>
      </c>
      <c r="B586" s="3"/>
      <c r="C586" s="22"/>
      <c r="D586" s="4" t="str">
        <f>IF(C586="","",IFERROR(VLOOKUP(C586,'Calibrated Tools Register'!B:C,2,FALSE),"NOT registered"))</f>
        <v/>
      </c>
      <c r="E586" s="3"/>
      <c r="F586" s="4"/>
      <c r="G586" s="3"/>
      <c r="H586" s="3" t="str">
        <f ca="1">IFERROR(VLOOKUP(C586,'Calibrated Tools Register'!B:M,12,FALSE)-TODAY(),"")</f>
        <v/>
      </c>
      <c r="I586" s="3" t="str">
        <f t="shared" ca="1" si="19"/>
        <v/>
      </c>
      <c r="J586" s="3"/>
      <c r="K586" s="4"/>
      <c r="L586" s="3"/>
      <c r="M586" s="4"/>
      <c r="N586" s="4"/>
      <c r="O586" s="4"/>
    </row>
    <row r="587" spans="1:15">
      <c r="A587" s="3" t="str">
        <f t="shared" si="18"/>
        <v/>
      </c>
      <c r="B587" s="5"/>
      <c r="C587" s="23"/>
      <c r="D587" s="4" t="str">
        <f>IF(C587="","",IFERROR(VLOOKUP(C587,'Calibrated Tools Register'!B:C,2,FALSE),"NOT registered"))</f>
        <v/>
      </c>
      <c r="E587" s="5"/>
      <c r="F587" s="6"/>
      <c r="G587" s="5"/>
      <c r="H587" s="5" t="str">
        <f ca="1">IFERROR(VLOOKUP(C587,'Calibrated Tools Register'!B:M,12,FALSE)-TODAY(),"")</f>
        <v/>
      </c>
      <c r="I587" s="3" t="str">
        <f t="shared" ca="1" si="19"/>
        <v/>
      </c>
      <c r="J587" s="5"/>
      <c r="K587" s="6"/>
      <c r="L587" s="5"/>
      <c r="M587" s="6"/>
      <c r="N587" s="6"/>
      <c r="O587" s="6"/>
    </row>
    <row r="588" spans="1:15">
      <c r="A588" s="3" t="str">
        <f t="shared" si="18"/>
        <v/>
      </c>
      <c r="B588" s="3"/>
      <c r="C588" s="22"/>
      <c r="D588" s="4" t="str">
        <f>IF(C588="","",IFERROR(VLOOKUP(C588,'Calibrated Tools Register'!B:C,2,FALSE),"NOT registered"))</f>
        <v/>
      </c>
      <c r="E588" s="3"/>
      <c r="F588" s="4"/>
      <c r="G588" s="3"/>
      <c r="H588" s="3" t="str">
        <f ca="1">IFERROR(VLOOKUP(C588,'Calibrated Tools Register'!B:M,12,FALSE)-TODAY(),"")</f>
        <v/>
      </c>
      <c r="I588" s="3" t="str">
        <f t="shared" ca="1" si="19"/>
        <v/>
      </c>
      <c r="J588" s="3"/>
      <c r="K588" s="4"/>
      <c r="L588" s="3"/>
      <c r="M588" s="4"/>
      <c r="N588" s="4"/>
      <c r="O588" s="4"/>
    </row>
    <row r="589" spans="1:15">
      <c r="A589" s="3" t="str">
        <f t="shared" si="18"/>
        <v/>
      </c>
      <c r="B589" s="5"/>
      <c r="C589" s="23"/>
      <c r="D589" s="4" t="str">
        <f>IF(C589="","",IFERROR(VLOOKUP(C589,'Calibrated Tools Register'!B:C,2,FALSE),"NOT registered"))</f>
        <v/>
      </c>
      <c r="E589" s="5"/>
      <c r="F589" s="6"/>
      <c r="G589" s="5"/>
      <c r="H589" s="5" t="str">
        <f ca="1">IFERROR(VLOOKUP(C589,'Calibrated Tools Register'!B:M,12,FALSE)-TODAY(),"")</f>
        <v/>
      </c>
      <c r="I589" s="3" t="str">
        <f t="shared" ca="1" si="19"/>
        <v/>
      </c>
      <c r="J589" s="5"/>
      <c r="K589" s="6"/>
      <c r="L589" s="5"/>
      <c r="M589" s="6"/>
      <c r="N589" s="6"/>
      <c r="O589" s="6"/>
    </row>
    <row r="590" spans="1:15">
      <c r="A590" s="3" t="str">
        <f t="shared" si="18"/>
        <v/>
      </c>
      <c r="B590" s="3"/>
      <c r="C590" s="22"/>
      <c r="D590" s="4" t="str">
        <f>IF(C590="","",IFERROR(VLOOKUP(C590,'Calibrated Tools Register'!B:C,2,FALSE),"NOT registered"))</f>
        <v/>
      </c>
      <c r="E590" s="3"/>
      <c r="F590" s="4"/>
      <c r="G590" s="3"/>
      <c r="H590" s="3" t="str">
        <f ca="1">IFERROR(VLOOKUP(C590,'Calibrated Tools Register'!B:M,12,FALSE)-TODAY(),"")</f>
        <v/>
      </c>
      <c r="I590" s="3" t="str">
        <f t="shared" ca="1" si="19"/>
        <v/>
      </c>
      <c r="J590" s="3"/>
      <c r="K590" s="4"/>
      <c r="L590" s="3"/>
      <c r="M590" s="4"/>
      <c r="N590" s="4"/>
      <c r="O590" s="4"/>
    </row>
    <row r="591" spans="1:15">
      <c r="A591" s="3" t="str">
        <f t="shared" si="18"/>
        <v/>
      </c>
      <c r="B591" s="5"/>
      <c r="C591" s="23"/>
      <c r="D591" s="4" t="str">
        <f>IF(C591="","",IFERROR(VLOOKUP(C591,'Calibrated Tools Register'!B:C,2,FALSE),"NOT registered"))</f>
        <v/>
      </c>
      <c r="E591" s="5"/>
      <c r="F591" s="6"/>
      <c r="G591" s="5"/>
      <c r="H591" s="5" t="str">
        <f ca="1">IFERROR(VLOOKUP(C591,'Calibrated Tools Register'!B:M,12,FALSE)-TODAY(),"")</f>
        <v/>
      </c>
      <c r="I591" s="3" t="str">
        <f t="shared" ca="1" si="19"/>
        <v/>
      </c>
      <c r="J591" s="5"/>
      <c r="K591" s="6"/>
      <c r="L591" s="5"/>
      <c r="M591" s="6"/>
      <c r="N591" s="6"/>
      <c r="O591" s="6"/>
    </row>
    <row r="592" spans="1:15">
      <c r="A592" s="3" t="str">
        <f t="shared" si="18"/>
        <v/>
      </c>
      <c r="B592" s="3"/>
      <c r="C592" s="22"/>
      <c r="D592" s="4" t="str">
        <f>IF(C592="","",IFERROR(VLOOKUP(C592,'Calibrated Tools Register'!B:C,2,FALSE),"NOT registered"))</f>
        <v/>
      </c>
      <c r="E592" s="3"/>
      <c r="F592" s="4"/>
      <c r="G592" s="3"/>
      <c r="H592" s="3" t="str">
        <f ca="1">IFERROR(VLOOKUP(C592,'Calibrated Tools Register'!B:M,12,FALSE)-TODAY(),"")</f>
        <v/>
      </c>
      <c r="I592" s="3" t="str">
        <f t="shared" ca="1" si="19"/>
        <v/>
      </c>
      <c r="J592" s="3"/>
      <c r="K592" s="4"/>
      <c r="L592" s="3"/>
      <c r="M592" s="4"/>
      <c r="N592" s="4"/>
      <c r="O592" s="4"/>
    </row>
    <row r="593" spans="1:15">
      <c r="A593" s="3" t="str">
        <f t="shared" si="18"/>
        <v/>
      </c>
      <c r="B593" s="5"/>
      <c r="C593" s="23"/>
      <c r="D593" s="4" t="str">
        <f>IF(C593="","",IFERROR(VLOOKUP(C593,'Calibrated Tools Register'!B:C,2,FALSE),"NOT registered"))</f>
        <v/>
      </c>
      <c r="E593" s="5"/>
      <c r="F593" s="6"/>
      <c r="G593" s="5"/>
      <c r="H593" s="5" t="str">
        <f ca="1">IFERROR(VLOOKUP(C593,'Calibrated Tools Register'!B:M,12,FALSE)-TODAY(),"")</f>
        <v/>
      </c>
      <c r="I593" s="3" t="str">
        <f t="shared" ca="1" si="19"/>
        <v/>
      </c>
      <c r="J593" s="5"/>
      <c r="K593" s="6"/>
      <c r="L593" s="5"/>
      <c r="M593" s="6"/>
      <c r="N593" s="6"/>
      <c r="O593" s="6"/>
    </row>
    <row r="594" spans="1:15">
      <c r="A594" s="3" t="str">
        <f t="shared" si="18"/>
        <v/>
      </c>
      <c r="B594" s="3"/>
      <c r="C594" s="22"/>
      <c r="D594" s="4" t="str">
        <f>IF(C594="","",IFERROR(VLOOKUP(C594,'Calibrated Tools Register'!B:C,2,FALSE),"NOT registered"))</f>
        <v/>
      </c>
      <c r="E594" s="3"/>
      <c r="F594" s="4"/>
      <c r="G594" s="3"/>
      <c r="H594" s="3" t="str">
        <f ca="1">IFERROR(VLOOKUP(C594,'Calibrated Tools Register'!B:M,12,FALSE)-TODAY(),"")</f>
        <v/>
      </c>
      <c r="I594" s="3" t="str">
        <f t="shared" ca="1" si="19"/>
        <v/>
      </c>
      <c r="J594" s="3"/>
      <c r="K594" s="4"/>
      <c r="L594" s="3"/>
      <c r="M594" s="4"/>
      <c r="N594" s="4"/>
      <c r="O594" s="4"/>
    </row>
    <row r="595" spans="1:15">
      <c r="A595" s="3" t="str">
        <f t="shared" si="18"/>
        <v/>
      </c>
      <c r="B595" s="5"/>
      <c r="C595" s="23"/>
      <c r="D595" s="4" t="str">
        <f>IF(C595="","",IFERROR(VLOOKUP(C595,'Calibrated Tools Register'!B:C,2,FALSE),"NOT registered"))</f>
        <v/>
      </c>
      <c r="E595" s="5"/>
      <c r="F595" s="6"/>
      <c r="G595" s="5"/>
      <c r="H595" s="5" t="str">
        <f ca="1">IFERROR(VLOOKUP(C595,'Calibrated Tools Register'!B:M,12,FALSE)-TODAY(),"")</f>
        <v/>
      </c>
      <c r="I595" s="3" t="str">
        <f t="shared" ca="1" si="19"/>
        <v/>
      </c>
      <c r="J595" s="5"/>
      <c r="K595" s="6"/>
      <c r="L595" s="5"/>
      <c r="M595" s="6"/>
      <c r="N595" s="6"/>
      <c r="O595" s="6"/>
    </row>
    <row r="596" spans="1:15">
      <c r="A596" s="3" t="str">
        <f t="shared" si="18"/>
        <v/>
      </c>
      <c r="B596" s="3"/>
      <c r="C596" s="22"/>
      <c r="D596" s="4" t="str">
        <f>IF(C596="","",IFERROR(VLOOKUP(C596,'Calibrated Tools Register'!B:C,2,FALSE),"NOT registered"))</f>
        <v/>
      </c>
      <c r="E596" s="3"/>
      <c r="F596" s="4"/>
      <c r="G596" s="3"/>
      <c r="H596" s="3" t="str">
        <f ca="1">IFERROR(VLOOKUP(C596,'Calibrated Tools Register'!B:M,12,FALSE)-TODAY(),"")</f>
        <v/>
      </c>
      <c r="I596" s="3" t="str">
        <f t="shared" ca="1" si="19"/>
        <v/>
      </c>
      <c r="J596" s="3"/>
      <c r="K596" s="4"/>
      <c r="L596" s="3"/>
      <c r="M596" s="4"/>
      <c r="N596" s="4"/>
      <c r="O596" s="4"/>
    </row>
    <row r="597" spans="1:15">
      <c r="A597" s="3" t="str">
        <f t="shared" si="18"/>
        <v/>
      </c>
      <c r="B597" s="5"/>
      <c r="C597" s="23"/>
      <c r="D597" s="4" t="str">
        <f>IF(C597="","",IFERROR(VLOOKUP(C597,'Calibrated Tools Register'!B:C,2,FALSE),"NOT registered"))</f>
        <v/>
      </c>
      <c r="E597" s="5"/>
      <c r="F597" s="6"/>
      <c r="G597" s="5"/>
      <c r="H597" s="5" t="str">
        <f ca="1">IFERROR(VLOOKUP(C597,'Calibrated Tools Register'!B:M,12,FALSE)-TODAY(),"")</f>
        <v/>
      </c>
      <c r="I597" s="3" t="str">
        <f t="shared" ca="1" si="19"/>
        <v/>
      </c>
      <c r="J597" s="5"/>
      <c r="K597" s="6"/>
      <c r="L597" s="5"/>
      <c r="M597" s="6"/>
      <c r="N597" s="6"/>
      <c r="O597" s="6"/>
    </row>
    <row r="598" spans="1:15">
      <c r="A598" s="3" t="str">
        <f t="shared" si="18"/>
        <v/>
      </c>
      <c r="B598" s="3"/>
      <c r="C598" s="22"/>
      <c r="D598" s="4" t="str">
        <f>IF(C598="","",IFERROR(VLOOKUP(C598,'Calibrated Tools Register'!B:C,2,FALSE),"NOT registered"))</f>
        <v/>
      </c>
      <c r="E598" s="3"/>
      <c r="F598" s="4"/>
      <c r="G598" s="3"/>
      <c r="H598" s="3" t="str">
        <f ca="1">IFERROR(VLOOKUP(C598,'Calibrated Tools Register'!B:M,12,FALSE)-TODAY(),"")</f>
        <v/>
      </c>
      <c r="I598" s="3" t="str">
        <f t="shared" ca="1" si="19"/>
        <v/>
      </c>
      <c r="J598" s="3"/>
      <c r="K598" s="4"/>
      <c r="L598" s="3"/>
      <c r="M598" s="4"/>
      <c r="N598" s="4"/>
      <c r="O598" s="4"/>
    </row>
    <row r="599" spans="1:15">
      <c r="A599" s="3" t="str">
        <f t="shared" si="18"/>
        <v/>
      </c>
      <c r="B599" s="5"/>
      <c r="C599" s="23"/>
      <c r="D599" s="4" t="str">
        <f>IF(C599="","",IFERROR(VLOOKUP(C599,'Calibrated Tools Register'!B:C,2,FALSE),"NOT registered"))</f>
        <v/>
      </c>
      <c r="E599" s="5"/>
      <c r="F599" s="6"/>
      <c r="G599" s="5"/>
      <c r="H599" s="5" t="str">
        <f ca="1">IFERROR(VLOOKUP(C599,'Calibrated Tools Register'!B:M,12,FALSE)-TODAY(),"")</f>
        <v/>
      </c>
      <c r="I599" s="3" t="str">
        <f t="shared" ca="1" si="19"/>
        <v/>
      </c>
      <c r="J599" s="5"/>
      <c r="K599" s="6"/>
      <c r="L599" s="5"/>
      <c r="M599" s="6"/>
      <c r="N599" s="6"/>
      <c r="O599" s="6"/>
    </row>
    <row r="600" spans="1:15">
      <c r="A600" s="3" t="str">
        <f t="shared" si="18"/>
        <v/>
      </c>
      <c r="B600" s="3"/>
      <c r="C600" s="22"/>
      <c r="D600" s="4" t="str">
        <f>IF(C600="","",IFERROR(VLOOKUP(C600,'Calibrated Tools Register'!B:C,2,FALSE),"NOT registered"))</f>
        <v/>
      </c>
      <c r="E600" s="3"/>
      <c r="F600" s="4"/>
      <c r="G600" s="3"/>
      <c r="H600" s="3" t="str">
        <f ca="1">IFERROR(VLOOKUP(C600,'Calibrated Tools Register'!B:M,12,FALSE)-TODAY(),"")</f>
        <v/>
      </c>
      <c r="I600" s="3" t="str">
        <f t="shared" ca="1" si="19"/>
        <v/>
      </c>
      <c r="J600" s="3"/>
      <c r="K600" s="4"/>
      <c r="L600" s="3"/>
      <c r="M600" s="4"/>
      <c r="N600" s="4"/>
      <c r="O600" s="4"/>
    </row>
    <row r="601" spans="1:15">
      <c r="A601" s="3" t="str">
        <f t="shared" si="18"/>
        <v/>
      </c>
      <c r="B601" s="5"/>
      <c r="C601" s="23"/>
      <c r="D601" s="4" t="str">
        <f>IF(C601="","",IFERROR(VLOOKUP(C601,'Calibrated Tools Register'!B:C,2,FALSE),"NOT registered"))</f>
        <v/>
      </c>
      <c r="E601" s="5"/>
      <c r="F601" s="6"/>
      <c r="G601" s="5"/>
      <c r="H601" s="5" t="str">
        <f ca="1">IFERROR(VLOOKUP(C601,'Calibrated Tools Register'!B:M,12,FALSE)-TODAY(),"")</f>
        <v/>
      </c>
      <c r="I601" s="3" t="str">
        <f t="shared" ca="1" si="19"/>
        <v/>
      </c>
      <c r="J601" s="5"/>
      <c r="K601" s="6"/>
      <c r="L601" s="5"/>
      <c r="M601" s="6"/>
      <c r="N601" s="6"/>
      <c r="O601" s="6"/>
    </row>
    <row r="602" spans="1:15">
      <c r="A602" s="3" t="str">
        <f t="shared" si="18"/>
        <v/>
      </c>
      <c r="B602" s="3"/>
      <c r="C602" s="22"/>
      <c r="D602" s="4" t="str">
        <f>IF(C602="","",IFERROR(VLOOKUP(C602,'Calibrated Tools Register'!B:C,2,FALSE),"NOT registered"))</f>
        <v/>
      </c>
      <c r="E602" s="3"/>
      <c r="F602" s="4"/>
      <c r="G602" s="3"/>
      <c r="H602" s="3" t="str">
        <f ca="1">IFERROR(VLOOKUP(C602,'Calibrated Tools Register'!B:M,12,FALSE)-TODAY(),"")</f>
        <v/>
      </c>
      <c r="I602" s="3" t="str">
        <f t="shared" ca="1" si="19"/>
        <v/>
      </c>
      <c r="J602" s="3"/>
      <c r="K602" s="4"/>
      <c r="L602" s="3"/>
      <c r="M602" s="4"/>
      <c r="N602" s="4"/>
      <c r="O602" s="4"/>
    </row>
    <row r="603" spans="1:15">
      <c r="A603" s="3" t="str">
        <f t="shared" si="18"/>
        <v/>
      </c>
      <c r="B603" s="5"/>
      <c r="C603" s="23"/>
      <c r="D603" s="4" t="str">
        <f>IF(C603="","",IFERROR(VLOOKUP(C603,'Calibrated Tools Register'!B:C,2,FALSE),"NOT registered"))</f>
        <v/>
      </c>
      <c r="E603" s="5"/>
      <c r="F603" s="6"/>
      <c r="G603" s="5"/>
      <c r="H603" s="5" t="str">
        <f ca="1">IFERROR(VLOOKUP(C603,'Calibrated Tools Register'!B:M,12,FALSE)-TODAY(),"")</f>
        <v/>
      </c>
      <c r="I603" s="3" t="str">
        <f t="shared" ca="1" si="19"/>
        <v/>
      </c>
      <c r="J603" s="5"/>
      <c r="K603" s="6"/>
      <c r="L603" s="5"/>
      <c r="M603" s="6"/>
      <c r="N603" s="6"/>
      <c r="O603" s="6"/>
    </row>
    <row r="604" spans="1:15">
      <c r="A604" s="3" t="str">
        <f t="shared" si="18"/>
        <v/>
      </c>
      <c r="B604" s="3"/>
      <c r="C604" s="22"/>
      <c r="D604" s="4" t="str">
        <f>IF(C604="","",IFERROR(VLOOKUP(C604,'Calibrated Tools Register'!B:C,2,FALSE),"NOT registered"))</f>
        <v/>
      </c>
      <c r="E604" s="3"/>
      <c r="F604" s="4"/>
      <c r="G604" s="3"/>
      <c r="H604" s="3" t="str">
        <f ca="1">IFERROR(VLOOKUP(C604,'Calibrated Tools Register'!B:M,12,FALSE)-TODAY(),"")</f>
        <v/>
      </c>
      <c r="I604" s="3" t="str">
        <f t="shared" ca="1" si="19"/>
        <v/>
      </c>
      <c r="J604" s="3"/>
      <c r="K604" s="4"/>
      <c r="L604" s="3"/>
      <c r="M604" s="4"/>
      <c r="N604" s="4"/>
      <c r="O604" s="4"/>
    </row>
    <row r="605" spans="1:15">
      <c r="A605" s="3" t="str">
        <f t="shared" si="18"/>
        <v/>
      </c>
      <c r="B605" s="5"/>
      <c r="C605" s="23"/>
      <c r="D605" s="4" t="str">
        <f>IF(C605="","",IFERROR(VLOOKUP(C605,'Calibrated Tools Register'!B:C,2,FALSE),"NOT registered"))</f>
        <v/>
      </c>
      <c r="E605" s="5"/>
      <c r="F605" s="6"/>
      <c r="G605" s="5"/>
      <c r="H605" s="5" t="str">
        <f ca="1">IFERROR(VLOOKUP(C605,'Calibrated Tools Register'!B:M,12,FALSE)-TODAY(),"")</f>
        <v/>
      </c>
      <c r="I605" s="3" t="str">
        <f t="shared" ca="1" si="19"/>
        <v/>
      </c>
      <c r="J605" s="5"/>
      <c r="K605" s="6"/>
      <c r="L605" s="5"/>
      <c r="M605" s="6"/>
      <c r="N605" s="6"/>
      <c r="O605" s="6"/>
    </row>
    <row r="606" spans="1:15">
      <c r="A606" s="3" t="str">
        <f t="shared" si="18"/>
        <v/>
      </c>
      <c r="B606" s="3"/>
      <c r="C606" s="22"/>
      <c r="D606" s="4" t="str">
        <f>IF(C606="","",IFERROR(VLOOKUP(C606,'Calibrated Tools Register'!B:C,2,FALSE),"NOT registered"))</f>
        <v/>
      </c>
      <c r="E606" s="3"/>
      <c r="F606" s="4"/>
      <c r="G606" s="3"/>
      <c r="H606" s="3" t="str">
        <f ca="1">IFERROR(VLOOKUP(C606,'Calibrated Tools Register'!B:M,12,FALSE)-TODAY(),"")</f>
        <v/>
      </c>
      <c r="I606" s="3" t="str">
        <f t="shared" ca="1" si="19"/>
        <v/>
      </c>
      <c r="J606" s="3"/>
      <c r="K606" s="4"/>
      <c r="L606" s="3"/>
      <c r="M606" s="4"/>
      <c r="N606" s="4"/>
      <c r="O606" s="4"/>
    </row>
    <row r="607" spans="1:15">
      <c r="A607" s="3" t="str">
        <f t="shared" si="18"/>
        <v/>
      </c>
      <c r="B607" s="5"/>
      <c r="C607" s="23"/>
      <c r="D607" s="4" t="str">
        <f>IF(C607="","",IFERROR(VLOOKUP(C607,'Calibrated Tools Register'!B:C,2,FALSE),"NOT registered"))</f>
        <v/>
      </c>
      <c r="E607" s="5"/>
      <c r="F607" s="6"/>
      <c r="G607" s="5"/>
      <c r="H607" s="5" t="str">
        <f ca="1">IFERROR(VLOOKUP(C607,'Calibrated Tools Register'!B:M,12,FALSE)-TODAY(),"")</f>
        <v/>
      </c>
      <c r="I607" s="3" t="str">
        <f t="shared" ca="1" si="19"/>
        <v/>
      </c>
      <c r="J607" s="5"/>
      <c r="K607" s="6"/>
      <c r="L607" s="5"/>
      <c r="M607" s="6"/>
      <c r="N607" s="6"/>
      <c r="O607" s="6"/>
    </row>
    <row r="608" spans="1:15">
      <c r="A608" s="3" t="str">
        <f t="shared" si="18"/>
        <v/>
      </c>
      <c r="B608" s="3"/>
      <c r="C608" s="22"/>
      <c r="D608" s="4" t="str">
        <f>IF(C608="","",IFERROR(VLOOKUP(C608,'Calibrated Tools Register'!B:C,2,FALSE),"NOT registered"))</f>
        <v/>
      </c>
      <c r="E608" s="3"/>
      <c r="F608" s="4"/>
      <c r="G608" s="3"/>
      <c r="H608" s="3" t="str">
        <f ca="1">IFERROR(VLOOKUP(C608,'Calibrated Tools Register'!B:M,12,FALSE)-TODAY(),"")</f>
        <v/>
      </c>
      <c r="I608" s="3" t="str">
        <f t="shared" ca="1" si="19"/>
        <v/>
      </c>
      <c r="J608" s="3"/>
      <c r="K608" s="4"/>
      <c r="L608" s="3"/>
      <c r="M608" s="4"/>
      <c r="N608" s="4"/>
      <c r="O608" s="4"/>
    </row>
    <row r="609" spans="1:15">
      <c r="A609" s="3" t="str">
        <f t="shared" si="18"/>
        <v/>
      </c>
      <c r="B609" s="5"/>
      <c r="C609" s="23"/>
      <c r="D609" s="4" t="str">
        <f>IF(C609="","",IFERROR(VLOOKUP(C609,'Calibrated Tools Register'!B:C,2,FALSE),"NOT registered"))</f>
        <v/>
      </c>
      <c r="E609" s="5"/>
      <c r="F609" s="6"/>
      <c r="G609" s="5"/>
      <c r="H609" s="5" t="str">
        <f ca="1">IFERROR(VLOOKUP(C609,'Calibrated Tools Register'!B:M,12,FALSE)-TODAY(),"")</f>
        <v/>
      </c>
      <c r="I609" s="3" t="str">
        <f t="shared" ca="1" si="19"/>
        <v/>
      </c>
      <c r="J609" s="5"/>
      <c r="K609" s="6"/>
      <c r="L609" s="5"/>
      <c r="M609" s="6"/>
      <c r="N609" s="6"/>
      <c r="O609" s="6"/>
    </row>
    <row r="610" spans="1:15">
      <c r="A610" s="3" t="str">
        <f t="shared" si="18"/>
        <v/>
      </c>
      <c r="B610" s="3"/>
      <c r="C610" s="22"/>
      <c r="D610" s="4" t="str">
        <f>IF(C610="","",IFERROR(VLOOKUP(C610,'Calibrated Tools Register'!B:C,2,FALSE),"NOT registered"))</f>
        <v/>
      </c>
      <c r="E610" s="3"/>
      <c r="F610" s="4"/>
      <c r="G610" s="3"/>
      <c r="H610" s="3" t="str">
        <f ca="1">IFERROR(VLOOKUP(C610,'Calibrated Tools Register'!B:M,12,FALSE)-TODAY(),"")</f>
        <v/>
      </c>
      <c r="I610" s="3" t="str">
        <f t="shared" ca="1" si="19"/>
        <v/>
      </c>
      <c r="J610" s="3"/>
      <c r="K610" s="4"/>
      <c r="L610" s="3"/>
      <c r="M610" s="4"/>
      <c r="N610" s="4"/>
      <c r="O610" s="4"/>
    </row>
    <row r="611" spans="1:15">
      <c r="A611" s="3" t="str">
        <f t="shared" si="18"/>
        <v/>
      </c>
      <c r="B611" s="5"/>
      <c r="C611" s="23"/>
      <c r="D611" s="4" t="str">
        <f>IF(C611="","",IFERROR(VLOOKUP(C611,'Calibrated Tools Register'!B:C,2,FALSE),"NOT registered"))</f>
        <v/>
      </c>
      <c r="E611" s="5"/>
      <c r="F611" s="6"/>
      <c r="G611" s="5"/>
      <c r="H611" s="5" t="str">
        <f ca="1">IFERROR(VLOOKUP(C611,'Calibrated Tools Register'!B:M,12,FALSE)-TODAY(),"")</f>
        <v/>
      </c>
      <c r="I611" s="3" t="str">
        <f t="shared" ca="1" si="19"/>
        <v/>
      </c>
      <c r="J611" s="5"/>
      <c r="K611" s="6"/>
      <c r="L611" s="5"/>
      <c r="M611" s="6"/>
      <c r="N611" s="6"/>
      <c r="O611" s="6"/>
    </row>
    <row r="612" spans="1:15">
      <c r="A612" s="3" t="str">
        <f t="shared" si="18"/>
        <v/>
      </c>
      <c r="B612" s="3"/>
      <c r="C612" s="22"/>
      <c r="D612" s="4" t="str">
        <f>IF(C612="","",IFERROR(VLOOKUP(C612,'Calibrated Tools Register'!B:C,2,FALSE),"NOT registered"))</f>
        <v/>
      </c>
      <c r="E612" s="3"/>
      <c r="F612" s="4"/>
      <c r="G612" s="3"/>
      <c r="H612" s="3" t="str">
        <f ca="1">IFERROR(VLOOKUP(C612,'Calibrated Tools Register'!B:M,12,FALSE)-TODAY(),"")</f>
        <v/>
      </c>
      <c r="I612" s="3" t="str">
        <f t="shared" ca="1" si="19"/>
        <v/>
      </c>
      <c r="J612" s="3"/>
      <c r="K612" s="4"/>
      <c r="L612" s="3"/>
      <c r="M612" s="4"/>
      <c r="N612" s="4"/>
      <c r="O612" s="4"/>
    </row>
    <row r="613" spans="1:15">
      <c r="A613" s="3" t="str">
        <f t="shared" si="18"/>
        <v/>
      </c>
      <c r="B613" s="5"/>
      <c r="C613" s="23"/>
      <c r="D613" s="4" t="str">
        <f>IF(C613="","",IFERROR(VLOOKUP(C613,'Calibrated Tools Register'!B:C,2,FALSE),"NOT registered"))</f>
        <v/>
      </c>
      <c r="E613" s="5"/>
      <c r="F613" s="6"/>
      <c r="G613" s="5"/>
      <c r="H613" s="5" t="str">
        <f ca="1">IFERROR(VLOOKUP(C613,'Calibrated Tools Register'!B:M,12,FALSE)-TODAY(),"")</f>
        <v/>
      </c>
      <c r="I613" s="3" t="str">
        <f t="shared" ca="1" si="19"/>
        <v/>
      </c>
      <c r="J613" s="5"/>
      <c r="K613" s="6"/>
      <c r="L613" s="5"/>
      <c r="M613" s="6"/>
      <c r="N613" s="6"/>
      <c r="O613" s="6"/>
    </row>
    <row r="614" spans="1:15">
      <c r="A614" s="3" t="str">
        <f t="shared" si="18"/>
        <v/>
      </c>
      <c r="B614" s="3"/>
      <c r="C614" s="22"/>
      <c r="D614" s="4" t="str">
        <f>IF(C614="","",IFERROR(VLOOKUP(C614,'Calibrated Tools Register'!B:C,2,FALSE),"NOT registered"))</f>
        <v/>
      </c>
      <c r="E614" s="3"/>
      <c r="F614" s="4"/>
      <c r="G614" s="3"/>
      <c r="H614" s="3" t="str">
        <f ca="1">IFERROR(VLOOKUP(C614,'Calibrated Tools Register'!B:M,12,FALSE)-TODAY(),"")</f>
        <v/>
      </c>
      <c r="I614" s="3" t="str">
        <f t="shared" ca="1" si="19"/>
        <v/>
      </c>
      <c r="J614" s="3"/>
      <c r="K614" s="4"/>
      <c r="L614" s="3"/>
      <c r="M614" s="4"/>
      <c r="N614" s="4"/>
      <c r="O614" s="4"/>
    </row>
    <row r="615" spans="1:15">
      <c r="A615" s="3" t="str">
        <f t="shared" si="18"/>
        <v/>
      </c>
      <c r="B615" s="5"/>
      <c r="C615" s="23"/>
      <c r="D615" s="4" t="str">
        <f>IF(C615="","",IFERROR(VLOOKUP(C615,'Calibrated Tools Register'!B:C,2,FALSE),"NOT registered"))</f>
        <v/>
      </c>
      <c r="E615" s="5"/>
      <c r="F615" s="6"/>
      <c r="G615" s="5"/>
      <c r="H615" s="5" t="str">
        <f ca="1">IFERROR(VLOOKUP(C615,'Calibrated Tools Register'!B:M,12,FALSE)-TODAY(),"")</f>
        <v/>
      </c>
      <c r="I615" s="3" t="str">
        <f t="shared" ca="1" si="19"/>
        <v/>
      </c>
      <c r="J615" s="5"/>
      <c r="K615" s="6"/>
      <c r="L615" s="5"/>
      <c r="M615" s="6"/>
      <c r="N615" s="6"/>
      <c r="O615" s="6"/>
    </row>
    <row r="616" spans="1:15">
      <c r="A616" s="3" t="str">
        <f t="shared" si="18"/>
        <v/>
      </c>
      <c r="B616" s="3"/>
      <c r="C616" s="22"/>
      <c r="D616" s="4" t="str">
        <f>IF(C616="","",IFERROR(VLOOKUP(C616,'Calibrated Tools Register'!B:C,2,FALSE),"NOT registered"))</f>
        <v/>
      </c>
      <c r="E616" s="3"/>
      <c r="F616" s="4"/>
      <c r="G616" s="3"/>
      <c r="H616" s="3" t="str">
        <f ca="1">IFERROR(VLOOKUP(C616,'Calibrated Tools Register'!B:M,12,FALSE)-TODAY(),"")</f>
        <v/>
      </c>
      <c r="I616" s="3" t="str">
        <f t="shared" ca="1" si="19"/>
        <v/>
      </c>
      <c r="J616" s="3"/>
      <c r="K616" s="4"/>
      <c r="L616" s="3"/>
      <c r="M616" s="4"/>
      <c r="N616" s="4"/>
      <c r="O616" s="4"/>
    </row>
    <row r="617" spans="1:15">
      <c r="A617" s="3" t="str">
        <f t="shared" si="18"/>
        <v/>
      </c>
      <c r="B617" s="5"/>
      <c r="C617" s="23"/>
      <c r="D617" s="4" t="str">
        <f>IF(C617="","",IFERROR(VLOOKUP(C617,'Calibrated Tools Register'!B:C,2,FALSE),"NOT registered"))</f>
        <v/>
      </c>
      <c r="E617" s="5"/>
      <c r="F617" s="6"/>
      <c r="G617" s="5"/>
      <c r="H617" s="5" t="str">
        <f ca="1">IFERROR(VLOOKUP(C617,'Calibrated Tools Register'!B:M,12,FALSE)-TODAY(),"")</f>
        <v/>
      </c>
      <c r="I617" s="3" t="str">
        <f t="shared" ca="1" si="19"/>
        <v/>
      </c>
      <c r="J617" s="5"/>
      <c r="K617" s="6"/>
      <c r="L617" s="5"/>
      <c r="M617" s="6"/>
      <c r="N617" s="6"/>
      <c r="O617" s="6"/>
    </row>
    <row r="618" spans="1:15">
      <c r="A618" s="3" t="str">
        <f t="shared" si="18"/>
        <v/>
      </c>
      <c r="B618" s="3"/>
      <c r="C618" s="22"/>
      <c r="D618" s="4" t="str">
        <f>IF(C618="","",IFERROR(VLOOKUP(C618,'Calibrated Tools Register'!B:C,2,FALSE),"NOT registered"))</f>
        <v/>
      </c>
      <c r="E618" s="3"/>
      <c r="F618" s="4"/>
      <c r="G618" s="3"/>
      <c r="H618" s="3" t="str">
        <f ca="1">IFERROR(VLOOKUP(C618,'Calibrated Tools Register'!B:M,12,FALSE)-TODAY(),"")</f>
        <v/>
      </c>
      <c r="I618" s="3" t="str">
        <f t="shared" ca="1" si="19"/>
        <v/>
      </c>
      <c r="J618" s="3"/>
      <c r="K618" s="4"/>
      <c r="L618" s="3"/>
      <c r="M618" s="4"/>
      <c r="N618" s="4"/>
      <c r="O618" s="4"/>
    </row>
    <row r="619" spans="1:15">
      <c r="A619" s="3" t="str">
        <f t="shared" si="18"/>
        <v/>
      </c>
      <c r="B619" s="5"/>
      <c r="C619" s="23"/>
      <c r="D619" s="4" t="str">
        <f>IF(C619="","",IFERROR(VLOOKUP(C619,'Calibrated Tools Register'!B:C,2,FALSE),"NOT registered"))</f>
        <v/>
      </c>
      <c r="E619" s="5"/>
      <c r="F619" s="6"/>
      <c r="G619" s="5"/>
      <c r="H619" s="5" t="str">
        <f ca="1">IFERROR(VLOOKUP(C619,'Calibrated Tools Register'!B:M,12,FALSE)-TODAY(),"")</f>
        <v/>
      </c>
      <c r="I619" s="3" t="str">
        <f t="shared" ca="1" si="19"/>
        <v/>
      </c>
      <c r="J619" s="5"/>
      <c r="K619" s="6"/>
      <c r="L619" s="5"/>
      <c r="M619" s="6"/>
      <c r="N619" s="6"/>
      <c r="O619" s="6"/>
    </row>
    <row r="620" spans="1:15">
      <c r="A620" s="3" t="str">
        <f t="shared" si="18"/>
        <v/>
      </c>
      <c r="B620" s="3"/>
      <c r="C620" s="22"/>
      <c r="D620" s="4" t="str">
        <f>IF(C620="","",IFERROR(VLOOKUP(C620,'Calibrated Tools Register'!B:C,2,FALSE),"NOT registered"))</f>
        <v/>
      </c>
      <c r="E620" s="3"/>
      <c r="F620" s="4"/>
      <c r="G620" s="3"/>
      <c r="H620" s="3" t="str">
        <f ca="1">IFERROR(VLOOKUP(C620,'Calibrated Tools Register'!B:M,12,FALSE)-TODAY(),"")</f>
        <v/>
      </c>
      <c r="I620" s="3" t="str">
        <f t="shared" ca="1" si="19"/>
        <v/>
      </c>
      <c r="J620" s="3"/>
      <c r="K620" s="4"/>
      <c r="L620" s="3"/>
      <c r="M620" s="4"/>
      <c r="N620" s="4"/>
      <c r="O620" s="4"/>
    </row>
    <row r="621" spans="1:15">
      <c r="A621" s="3" t="str">
        <f t="shared" si="18"/>
        <v/>
      </c>
      <c r="B621" s="5"/>
      <c r="C621" s="23"/>
      <c r="D621" s="4" t="str">
        <f>IF(C621="","",IFERROR(VLOOKUP(C621,'Calibrated Tools Register'!B:C,2,FALSE),"NOT registered"))</f>
        <v/>
      </c>
      <c r="E621" s="5"/>
      <c r="F621" s="6"/>
      <c r="G621" s="5"/>
      <c r="H621" s="5" t="str">
        <f ca="1">IFERROR(VLOOKUP(C621,'Calibrated Tools Register'!B:M,12,FALSE)-TODAY(),"")</f>
        <v/>
      </c>
      <c r="I621" s="3" t="str">
        <f t="shared" ca="1" si="19"/>
        <v/>
      </c>
      <c r="J621" s="5"/>
      <c r="K621" s="6"/>
      <c r="L621" s="5"/>
      <c r="M621" s="6"/>
      <c r="N621" s="6"/>
      <c r="O621" s="6"/>
    </row>
    <row r="622" spans="1:15">
      <c r="A622" s="3" t="str">
        <f t="shared" si="18"/>
        <v/>
      </c>
      <c r="B622" s="3"/>
      <c r="C622" s="22"/>
      <c r="D622" s="4" t="str">
        <f>IF(C622="","",IFERROR(VLOOKUP(C622,'Calibrated Tools Register'!B:C,2,FALSE),"NOT registered"))</f>
        <v/>
      </c>
      <c r="E622" s="3"/>
      <c r="F622" s="4"/>
      <c r="G622" s="3"/>
      <c r="H622" s="3" t="str">
        <f ca="1">IFERROR(VLOOKUP(C622,'Calibrated Tools Register'!B:M,12,FALSE)-TODAY(),"")</f>
        <v/>
      </c>
      <c r="I622" s="3" t="str">
        <f t="shared" ca="1" si="19"/>
        <v/>
      </c>
      <c r="J622" s="3"/>
      <c r="K622" s="4"/>
      <c r="L622" s="3"/>
      <c r="M622" s="4"/>
      <c r="N622" s="4"/>
      <c r="O622" s="4"/>
    </row>
    <row r="623" spans="1:15">
      <c r="A623" s="3" t="str">
        <f t="shared" si="18"/>
        <v/>
      </c>
      <c r="B623" s="5"/>
      <c r="C623" s="23"/>
      <c r="D623" s="4" t="str">
        <f>IF(C623="","",IFERROR(VLOOKUP(C623,'Calibrated Tools Register'!B:C,2,FALSE),"NOT registered"))</f>
        <v/>
      </c>
      <c r="E623" s="5"/>
      <c r="F623" s="6"/>
      <c r="G623" s="5"/>
      <c r="H623" s="5" t="str">
        <f ca="1">IFERROR(VLOOKUP(C623,'Calibrated Tools Register'!B:M,12,FALSE)-TODAY(),"")</f>
        <v/>
      </c>
      <c r="I623" s="3" t="str">
        <f t="shared" ca="1" si="19"/>
        <v/>
      </c>
      <c r="J623" s="5"/>
      <c r="K623" s="6"/>
      <c r="L623" s="5"/>
      <c r="M623" s="6"/>
      <c r="N623" s="6"/>
      <c r="O623" s="6"/>
    </row>
    <row r="624" spans="1:15">
      <c r="A624" s="3" t="str">
        <f t="shared" si="18"/>
        <v/>
      </c>
      <c r="B624" s="3"/>
      <c r="C624" s="22"/>
      <c r="D624" s="4" t="str">
        <f>IF(C624="","",IFERROR(VLOOKUP(C624,'Calibrated Tools Register'!B:C,2,FALSE),"NOT registered"))</f>
        <v/>
      </c>
      <c r="E624" s="3"/>
      <c r="F624" s="4"/>
      <c r="G624" s="3"/>
      <c r="H624" s="3" t="str">
        <f ca="1">IFERROR(VLOOKUP(C624,'Calibrated Tools Register'!B:M,12,FALSE)-TODAY(),"")</f>
        <v/>
      </c>
      <c r="I624" s="3" t="str">
        <f t="shared" ca="1" si="19"/>
        <v/>
      </c>
      <c r="J624" s="3"/>
      <c r="K624" s="4"/>
      <c r="L624" s="3"/>
      <c r="M624" s="4"/>
      <c r="N624" s="4"/>
      <c r="O624" s="4"/>
    </row>
    <row r="625" spans="1:15">
      <c r="A625" s="3" t="str">
        <f t="shared" si="18"/>
        <v/>
      </c>
      <c r="B625" s="5"/>
      <c r="C625" s="23"/>
      <c r="D625" s="4" t="str">
        <f>IF(C625="","",IFERROR(VLOOKUP(C625,'Calibrated Tools Register'!B:C,2,FALSE),"NOT registered"))</f>
        <v/>
      </c>
      <c r="E625" s="5"/>
      <c r="F625" s="6"/>
      <c r="G625" s="5"/>
      <c r="H625" s="5" t="str">
        <f ca="1">IFERROR(VLOOKUP(C625,'Calibrated Tools Register'!B:M,12,FALSE)-TODAY(),"")</f>
        <v/>
      </c>
      <c r="I625" s="3" t="str">
        <f t="shared" ca="1" si="19"/>
        <v/>
      </c>
      <c r="J625" s="5"/>
      <c r="K625" s="6"/>
      <c r="L625" s="5"/>
      <c r="M625" s="6"/>
      <c r="N625" s="6"/>
      <c r="O625" s="6"/>
    </row>
    <row r="626" spans="1:15">
      <c r="A626" s="3" t="str">
        <f t="shared" si="18"/>
        <v/>
      </c>
      <c r="B626" s="3"/>
      <c r="C626" s="22"/>
      <c r="D626" s="4" t="str">
        <f>IF(C626="","",IFERROR(VLOOKUP(C626,'Calibrated Tools Register'!B:C,2,FALSE),"NOT registered"))</f>
        <v/>
      </c>
      <c r="E626" s="3"/>
      <c r="F626" s="4"/>
      <c r="G626" s="3"/>
      <c r="H626" s="3" t="str">
        <f ca="1">IFERROR(VLOOKUP(C626,'Calibrated Tools Register'!B:M,12,FALSE)-TODAY(),"")</f>
        <v/>
      </c>
      <c r="I626" s="3" t="str">
        <f t="shared" ca="1" si="19"/>
        <v/>
      </c>
      <c r="J626" s="3"/>
      <c r="K626" s="4"/>
      <c r="L626" s="3"/>
      <c r="M626" s="4"/>
      <c r="N626" s="4"/>
      <c r="O626" s="4"/>
    </row>
    <row r="627" spans="1:15">
      <c r="A627" s="3" t="str">
        <f t="shared" si="18"/>
        <v/>
      </c>
      <c r="B627" s="5"/>
      <c r="C627" s="23"/>
      <c r="D627" s="4" t="str">
        <f>IF(C627="","",IFERROR(VLOOKUP(C627,'Calibrated Tools Register'!B:C,2,FALSE),"NOT registered"))</f>
        <v/>
      </c>
      <c r="E627" s="5"/>
      <c r="F627" s="6"/>
      <c r="G627" s="5"/>
      <c r="H627" s="5" t="str">
        <f ca="1">IFERROR(VLOOKUP(C627,'Calibrated Tools Register'!B:M,12,FALSE)-TODAY(),"")</f>
        <v/>
      </c>
      <c r="I627" s="3" t="str">
        <f t="shared" ca="1" si="19"/>
        <v/>
      </c>
      <c r="J627" s="5"/>
      <c r="K627" s="6"/>
      <c r="L627" s="5"/>
      <c r="M627" s="6"/>
      <c r="N627" s="6"/>
      <c r="O627" s="6"/>
    </row>
    <row r="628" spans="1:15">
      <c r="A628" s="3" t="str">
        <f t="shared" si="18"/>
        <v/>
      </c>
      <c r="B628" s="3"/>
      <c r="C628" s="22"/>
      <c r="D628" s="4" t="str">
        <f>IF(C628="","",IFERROR(VLOOKUP(C628,'Calibrated Tools Register'!B:C,2,FALSE),"NOT registered"))</f>
        <v/>
      </c>
      <c r="E628" s="3"/>
      <c r="F628" s="4"/>
      <c r="G628" s="3"/>
      <c r="H628" s="3" t="str">
        <f ca="1">IFERROR(VLOOKUP(C628,'Calibrated Tools Register'!B:M,12,FALSE)-TODAY(),"")</f>
        <v/>
      </c>
      <c r="I628" s="3" t="str">
        <f t="shared" ca="1" si="19"/>
        <v/>
      </c>
      <c r="J628" s="3"/>
      <c r="K628" s="4"/>
      <c r="L628" s="3"/>
      <c r="M628" s="4"/>
      <c r="N628" s="4"/>
      <c r="O628" s="4"/>
    </row>
    <row r="629" spans="1:15">
      <c r="A629" s="3" t="str">
        <f t="shared" si="18"/>
        <v/>
      </c>
      <c r="B629" s="5"/>
      <c r="C629" s="23"/>
      <c r="D629" s="4" t="str">
        <f>IF(C629="","",IFERROR(VLOOKUP(C629,'Calibrated Tools Register'!B:C,2,FALSE),"NOT registered"))</f>
        <v/>
      </c>
      <c r="E629" s="5"/>
      <c r="F629" s="6"/>
      <c r="G629" s="5"/>
      <c r="H629" s="5" t="str">
        <f ca="1">IFERROR(VLOOKUP(C629,'Calibrated Tools Register'!B:M,12,FALSE)-TODAY(),"")</f>
        <v/>
      </c>
      <c r="I629" s="3" t="str">
        <f t="shared" ca="1" si="19"/>
        <v/>
      </c>
      <c r="J629" s="5"/>
      <c r="K629" s="6"/>
      <c r="L629" s="5"/>
      <c r="M629" s="6"/>
      <c r="N629" s="6"/>
      <c r="O629" s="6"/>
    </row>
    <row r="630" spans="1:15">
      <c r="A630" s="3" t="str">
        <f t="shared" si="18"/>
        <v/>
      </c>
      <c r="B630" s="3"/>
      <c r="C630" s="22"/>
      <c r="D630" s="4" t="str">
        <f>IF(C630="","",IFERROR(VLOOKUP(C630,'Calibrated Tools Register'!B:C,2,FALSE),"NOT registered"))</f>
        <v/>
      </c>
      <c r="E630" s="3"/>
      <c r="F630" s="4"/>
      <c r="G630" s="3"/>
      <c r="H630" s="3" t="str">
        <f ca="1">IFERROR(VLOOKUP(C630,'Calibrated Tools Register'!B:M,12,FALSE)-TODAY(),"")</f>
        <v/>
      </c>
      <c r="I630" s="3" t="str">
        <f t="shared" ca="1" si="19"/>
        <v/>
      </c>
      <c r="J630" s="3"/>
      <c r="K630" s="4"/>
      <c r="L630" s="3"/>
      <c r="M630" s="4"/>
      <c r="N630" s="4"/>
      <c r="O630" s="4"/>
    </row>
    <row r="631" spans="1:15">
      <c r="A631" s="3" t="str">
        <f t="shared" si="18"/>
        <v/>
      </c>
      <c r="B631" s="5"/>
      <c r="C631" s="23"/>
      <c r="D631" s="4" t="str">
        <f>IF(C631="","",IFERROR(VLOOKUP(C631,'Calibrated Tools Register'!B:C,2,FALSE),"NOT registered"))</f>
        <v/>
      </c>
      <c r="E631" s="5"/>
      <c r="F631" s="6"/>
      <c r="G631" s="5"/>
      <c r="H631" s="5" t="str">
        <f ca="1">IFERROR(VLOOKUP(C631,'Calibrated Tools Register'!B:M,12,FALSE)-TODAY(),"")</f>
        <v/>
      </c>
      <c r="I631" s="3" t="str">
        <f t="shared" ca="1" si="19"/>
        <v/>
      </c>
      <c r="J631" s="5"/>
      <c r="K631" s="6"/>
      <c r="L631" s="5"/>
      <c r="M631" s="6"/>
      <c r="N631" s="6"/>
      <c r="O631" s="6"/>
    </row>
    <row r="632" spans="1:15">
      <c r="A632" s="3" t="str">
        <f t="shared" si="18"/>
        <v/>
      </c>
      <c r="B632" s="3"/>
      <c r="C632" s="22"/>
      <c r="D632" s="4" t="str">
        <f>IF(C632="","",IFERROR(VLOOKUP(C632,'Calibrated Tools Register'!B:C,2,FALSE),"NOT registered"))</f>
        <v/>
      </c>
      <c r="E632" s="3"/>
      <c r="F632" s="4"/>
      <c r="G632" s="3"/>
      <c r="H632" s="3" t="str">
        <f ca="1">IFERROR(VLOOKUP(C632,'Calibrated Tools Register'!B:M,12,FALSE)-TODAY(),"")</f>
        <v/>
      </c>
      <c r="I632" s="3" t="str">
        <f t="shared" ca="1" si="19"/>
        <v/>
      </c>
      <c r="J632" s="3"/>
      <c r="K632" s="4"/>
      <c r="L632" s="3"/>
      <c r="M632" s="4"/>
      <c r="N632" s="4"/>
      <c r="O632" s="4"/>
    </row>
    <row r="633" spans="1:15">
      <c r="A633" s="3" t="str">
        <f t="shared" si="18"/>
        <v/>
      </c>
      <c r="B633" s="5"/>
      <c r="C633" s="23"/>
      <c r="D633" s="4" t="str">
        <f>IF(C633="","",IFERROR(VLOOKUP(C633,'Calibrated Tools Register'!B:C,2,FALSE),"NOT registered"))</f>
        <v/>
      </c>
      <c r="E633" s="5"/>
      <c r="F633" s="6"/>
      <c r="G633" s="5"/>
      <c r="H633" s="5" t="str">
        <f ca="1">IFERROR(VLOOKUP(C633,'Calibrated Tools Register'!B:M,12,FALSE)-TODAY(),"")</f>
        <v/>
      </c>
      <c r="I633" s="3" t="str">
        <f t="shared" ca="1" si="19"/>
        <v/>
      </c>
      <c r="J633" s="5"/>
      <c r="K633" s="6"/>
      <c r="L633" s="5"/>
      <c r="M633" s="6"/>
      <c r="N633" s="6"/>
      <c r="O633" s="6"/>
    </row>
    <row r="634" spans="1:15">
      <c r="A634" s="3" t="str">
        <f t="shared" si="18"/>
        <v/>
      </c>
      <c r="B634" s="3"/>
      <c r="C634" s="22"/>
      <c r="D634" s="4" t="str">
        <f>IF(C634="","",IFERROR(VLOOKUP(C634,'Calibrated Tools Register'!B:C,2,FALSE),"NOT registered"))</f>
        <v/>
      </c>
      <c r="E634" s="3"/>
      <c r="F634" s="4"/>
      <c r="G634" s="3"/>
      <c r="H634" s="3" t="str">
        <f ca="1">IFERROR(VLOOKUP(C634,'Calibrated Tools Register'!B:M,12,FALSE)-TODAY(),"")</f>
        <v/>
      </c>
      <c r="I634" s="3" t="str">
        <f t="shared" ca="1" si="19"/>
        <v/>
      </c>
      <c r="J634" s="3"/>
      <c r="K634" s="4"/>
      <c r="L634" s="3"/>
      <c r="M634" s="4"/>
      <c r="N634" s="4"/>
      <c r="O634" s="4"/>
    </row>
    <row r="635" spans="1:15">
      <c r="A635" s="3" t="str">
        <f t="shared" si="18"/>
        <v/>
      </c>
      <c r="B635" s="5"/>
      <c r="C635" s="23"/>
      <c r="D635" s="4" t="str">
        <f>IF(C635="","",IFERROR(VLOOKUP(C635,'Calibrated Tools Register'!B:C,2,FALSE),"NOT registered"))</f>
        <v/>
      </c>
      <c r="E635" s="5"/>
      <c r="F635" s="6"/>
      <c r="G635" s="5"/>
      <c r="H635" s="5" t="str">
        <f ca="1">IFERROR(VLOOKUP(C635,'Calibrated Tools Register'!B:M,12,FALSE)-TODAY(),"")</f>
        <v/>
      </c>
      <c r="I635" s="3" t="str">
        <f t="shared" ca="1" si="19"/>
        <v/>
      </c>
      <c r="J635" s="5"/>
      <c r="K635" s="6"/>
      <c r="L635" s="5"/>
      <c r="M635" s="6"/>
      <c r="N635" s="6"/>
      <c r="O635" s="6"/>
    </row>
    <row r="636" spans="1:15">
      <c r="A636" s="3" t="str">
        <f t="shared" si="18"/>
        <v/>
      </c>
      <c r="B636" s="3"/>
      <c r="C636" s="22"/>
      <c r="D636" s="4" t="str">
        <f>IF(C636="","",IFERROR(VLOOKUP(C636,'Calibrated Tools Register'!B:C,2,FALSE),"NOT registered"))</f>
        <v/>
      </c>
      <c r="E636" s="3"/>
      <c r="F636" s="4"/>
      <c r="G636" s="3"/>
      <c r="H636" s="3" t="str">
        <f ca="1">IFERROR(VLOOKUP(C636,'Calibrated Tools Register'!B:M,12,FALSE)-TODAY(),"")</f>
        <v/>
      </c>
      <c r="I636" s="3" t="str">
        <f t="shared" ca="1" si="19"/>
        <v/>
      </c>
      <c r="J636" s="3"/>
      <c r="K636" s="4"/>
      <c r="L636" s="3"/>
      <c r="M636" s="4"/>
      <c r="N636" s="4"/>
      <c r="O636" s="4"/>
    </row>
    <row r="637" spans="1:15">
      <c r="A637" s="3" t="str">
        <f t="shared" si="18"/>
        <v/>
      </c>
      <c r="B637" s="5"/>
      <c r="C637" s="23"/>
      <c r="D637" s="4" t="str">
        <f>IF(C637="","",IFERROR(VLOOKUP(C637,'Calibrated Tools Register'!B:C,2,FALSE),"NOT registered"))</f>
        <v/>
      </c>
      <c r="E637" s="5"/>
      <c r="F637" s="6"/>
      <c r="G637" s="5"/>
      <c r="H637" s="5" t="str">
        <f ca="1">IFERROR(VLOOKUP(C637,'Calibrated Tools Register'!B:M,12,FALSE)-TODAY(),"")</f>
        <v/>
      </c>
      <c r="I637" s="3" t="str">
        <f t="shared" ca="1" si="19"/>
        <v/>
      </c>
      <c r="J637" s="5"/>
      <c r="K637" s="6"/>
      <c r="L637" s="5"/>
      <c r="M637" s="6"/>
      <c r="N637" s="6"/>
      <c r="O637" s="6"/>
    </row>
    <row r="638" spans="1:15">
      <c r="A638" s="3" t="str">
        <f t="shared" si="18"/>
        <v/>
      </c>
      <c r="B638" s="3"/>
      <c r="C638" s="22"/>
      <c r="D638" s="4" t="str">
        <f>IF(C638="","",IFERROR(VLOOKUP(C638,'Calibrated Tools Register'!B:C,2,FALSE),"NOT registered"))</f>
        <v/>
      </c>
      <c r="E638" s="3"/>
      <c r="F638" s="4"/>
      <c r="G638" s="3"/>
      <c r="H638" s="3" t="str">
        <f ca="1">IFERROR(VLOOKUP(C638,'Calibrated Tools Register'!B:M,12,FALSE)-TODAY(),"")</f>
        <v/>
      </c>
      <c r="I638" s="3" t="str">
        <f t="shared" ca="1" si="19"/>
        <v/>
      </c>
      <c r="J638" s="3"/>
      <c r="K638" s="4"/>
      <c r="L638" s="3"/>
      <c r="M638" s="4"/>
      <c r="N638" s="4"/>
      <c r="O638" s="4"/>
    </row>
    <row r="639" spans="1:15">
      <c r="A639" s="3" t="str">
        <f t="shared" si="18"/>
        <v/>
      </c>
      <c r="B639" s="5"/>
      <c r="C639" s="23"/>
      <c r="D639" s="4" t="str">
        <f>IF(C639="","",IFERROR(VLOOKUP(C639,'Calibrated Tools Register'!B:C,2,FALSE),"NOT registered"))</f>
        <v/>
      </c>
      <c r="E639" s="5"/>
      <c r="F639" s="6"/>
      <c r="G639" s="5"/>
      <c r="H639" s="5" t="str">
        <f ca="1">IFERROR(VLOOKUP(C639,'Calibrated Tools Register'!B:M,12,FALSE)-TODAY(),"")</f>
        <v/>
      </c>
      <c r="I639" s="3" t="str">
        <f t="shared" ca="1" si="19"/>
        <v/>
      </c>
      <c r="J639" s="5"/>
      <c r="K639" s="6"/>
      <c r="L639" s="5"/>
      <c r="M639" s="6"/>
      <c r="N639" s="6"/>
      <c r="O639" s="6"/>
    </row>
    <row r="640" spans="1:15">
      <c r="A640" s="3" t="str">
        <f t="shared" si="18"/>
        <v/>
      </c>
      <c r="B640" s="3"/>
      <c r="C640" s="22"/>
      <c r="D640" s="4" t="str">
        <f>IF(C640="","",IFERROR(VLOOKUP(C640,'Calibrated Tools Register'!B:C,2,FALSE),"NOT registered"))</f>
        <v/>
      </c>
      <c r="E640" s="3"/>
      <c r="F640" s="4"/>
      <c r="G640" s="3"/>
      <c r="H640" s="3" t="str">
        <f ca="1">IFERROR(VLOOKUP(C640,'Calibrated Tools Register'!B:M,12,FALSE)-TODAY(),"")</f>
        <v/>
      </c>
      <c r="I640" s="3" t="str">
        <f t="shared" ca="1" si="19"/>
        <v/>
      </c>
      <c r="J640" s="3"/>
      <c r="K640" s="4"/>
      <c r="L640" s="3"/>
      <c r="M640" s="4"/>
      <c r="N640" s="4"/>
      <c r="O640" s="4"/>
    </row>
    <row r="641" spans="1:15">
      <c r="A641" s="3" t="str">
        <f t="shared" si="18"/>
        <v/>
      </c>
      <c r="B641" s="5"/>
      <c r="C641" s="23"/>
      <c r="D641" s="4" t="str">
        <f>IF(C641="","",IFERROR(VLOOKUP(C641,'Calibrated Tools Register'!B:C,2,FALSE),"NOT registered"))</f>
        <v/>
      </c>
      <c r="E641" s="5"/>
      <c r="F641" s="6"/>
      <c r="G641" s="5"/>
      <c r="H641" s="5" t="str">
        <f ca="1">IFERROR(VLOOKUP(C641,'Calibrated Tools Register'!B:M,12,FALSE)-TODAY(),"")</f>
        <v/>
      </c>
      <c r="I641" s="3" t="str">
        <f t="shared" ca="1" si="19"/>
        <v/>
      </c>
      <c r="J641" s="5"/>
      <c r="K641" s="6"/>
      <c r="L641" s="5"/>
      <c r="M641" s="6"/>
      <c r="N641" s="6"/>
      <c r="O641" s="6"/>
    </row>
    <row r="642" spans="1:15">
      <c r="A642" s="3" t="str">
        <f t="shared" si="18"/>
        <v/>
      </c>
      <c r="B642" s="3"/>
      <c r="C642" s="22"/>
      <c r="D642" s="4" t="str">
        <f>IF(C642="","",IFERROR(VLOOKUP(C642,'Calibrated Tools Register'!B:C,2,FALSE),"NOT registered"))</f>
        <v/>
      </c>
      <c r="E642" s="3"/>
      <c r="F642" s="4"/>
      <c r="G642" s="3"/>
      <c r="H642" s="3" t="str">
        <f ca="1">IFERROR(VLOOKUP(C642,'Calibrated Tools Register'!B:M,12,FALSE)-TODAY(),"")</f>
        <v/>
      </c>
      <c r="I642" s="3" t="str">
        <f t="shared" ca="1" si="19"/>
        <v/>
      </c>
      <c r="J642" s="3"/>
      <c r="K642" s="4"/>
      <c r="L642" s="3"/>
      <c r="M642" s="4"/>
      <c r="N642" s="4"/>
      <c r="O642" s="4"/>
    </row>
    <row r="643" spans="1:15">
      <c r="A643" s="3" t="str">
        <f t="shared" si="18"/>
        <v/>
      </c>
      <c r="B643" s="5"/>
      <c r="C643" s="23"/>
      <c r="D643" s="4" t="str">
        <f>IF(C643="","",IFERROR(VLOOKUP(C643,'Calibrated Tools Register'!B:C,2,FALSE),"NOT registered"))</f>
        <v/>
      </c>
      <c r="E643" s="5"/>
      <c r="F643" s="6"/>
      <c r="G643" s="5"/>
      <c r="H643" s="5" t="str">
        <f ca="1">IFERROR(VLOOKUP(C643,'Calibrated Tools Register'!B:M,12,FALSE)-TODAY(),"")</f>
        <v/>
      </c>
      <c r="I643" s="3" t="str">
        <f t="shared" ca="1" si="19"/>
        <v/>
      </c>
      <c r="J643" s="5"/>
      <c r="K643" s="6"/>
      <c r="L643" s="5"/>
      <c r="M643" s="6"/>
      <c r="N643" s="6"/>
      <c r="O643" s="6"/>
    </row>
    <row r="644" spans="1:15">
      <c r="A644" s="3" t="str">
        <f t="shared" ref="A644:A707" si="20">IF(C644="","",ROW(C644)-3)</f>
        <v/>
      </c>
      <c r="B644" s="3"/>
      <c r="C644" s="22"/>
      <c r="D644" s="4" t="str">
        <f>IF(C644="","",IFERROR(VLOOKUP(C644,'Calibrated Tools Register'!B:C,2,FALSE),"NOT registered"))</f>
        <v/>
      </c>
      <c r="E644" s="3"/>
      <c r="F644" s="4"/>
      <c r="G644" s="3"/>
      <c r="H644" s="3" t="str">
        <f ca="1">IFERROR(VLOOKUP(C644,'Calibrated Tools Register'!B:M,12,FALSE)-TODAY(),"")</f>
        <v/>
      </c>
      <c r="I644" s="3" t="str">
        <f t="shared" ca="1" si="19"/>
        <v/>
      </c>
      <c r="J644" s="3"/>
      <c r="K644" s="4"/>
      <c r="L644" s="3"/>
      <c r="M644" s="4"/>
      <c r="N644" s="4"/>
      <c r="O644" s="4"/>
    </row>
    <row r="645" spans="1:15">
      <c r="A645" s="3" t="str">
        <f t="shared" si="20"/>
        <v/>
      </c>
      <c r="B645" s="5"/>
      <c r="C645" s="23"/>
      <c r="D645" s="4" t="str">
        <f>IF(C645="","",IFERROR(VLOOKUP(C645,'Calibrated Tools Register'!B:C,2,FALSE),"NOT registered"))</f>
        <v/>
      </c>
      <c r="E645" s="5"/>
      <c r="F645" s="6"/>
      <c r="G645" s="5"/>
      <c r="H645" s="5" t="str">
        <f ca="1">IFERROR(VLOOKUP(C645,'Calibrated Tools Register'!B:M,12,FALSE)-TODAY(),"")</f>
        <v/>
      </c>
      <c r="I645" s="3" t="str">
        <f t="shared" ref="I645:I708" ca="1" si="21">IF(H645="","",IF(H645&lt;=0,"Urgent",IF(H645&lt;=30,"High",IF(H645&lt;=45,"Medium","Low"))))</f>
        <v/>
      </c>
      <c r="J645" s="5"/>
      <c r="K645" s="6"/>
      <c r="L645" s="5"/>
      <c r="M645" s="6"/>
      <c r="N645" s="6"/>
      <c r="O645" s="6"/>
    </row>
    <row r="646" spans="1:15">
      <c r="A646" s="3" t="str">
        <f t="shared" si="20"/>
        <v/>
      </c>
      <c r="B646" s="3"/>
      <c r="C646" s="22"/>
      <c r="D646" s="4" t="str">
        <f>IF(C646="","",IFERROR(VLOOKUP(C646,'Calibrated Tools Register'!B:C,2,FALSE),"NOT registered"))</f>
        <v/>
      </c>
      <c r="E646" s="3"/>
      <c r="F646" s="4"/>
      <c r="G646" s="3"/>
      <c r="H646" s="3" t="str">
        <f ca="1">IFERROR(VLOOKUP(C646,'Calibrated Tools Register'!B:M,12,FALSE)-TODAY(),"")</f>
        <v/>
      </c>
      <c r="I646" s="3" t="str">
        <f t="shared" ca="1" si="21"/>
        <v/>
      </c>
      <c r="J646" s="3"/>
      <c r="K646" s="4"/>
      <c r="L646" s="3"/>
      <c r="M646" s="4"/>
      <c r="N646" s="4"/>
      <c r="O646" s="4"/>
    </row>
    <row r="647" spans="1:15">
      <c r="A647" s="3" t="str">
        <f t="shared" si="20"/>
        <v/>
      </c>
      <c r="B647" s="5"/>
      <c r="C647" s="23"/>
      <c r="D647" s="4" t="str">
        <f>IF(C647="","",IFERROR(VLOOKUP(C647,'Calibrated Tools Register'!B:C,2,FALSE),"NOT registered"))</f>
        <v/>
      </c>
      <c r="E647" s="5"/>
      <c r="F647" s="6"/>
      <c r="G647" s="5"/>
      <c r="H647" s="5" t="str">
        <f ca="1">IFERROR(VLOOKUP(C647,'Calibrated Tools Register'!B:M,12,FALSE)-TODAY(),"")</f>
        <v/>
      </c>
      <c r="I647" s="3" t="str">
        <f t="shared" ca="1" si="21"/>
        <v/>
      </c>
      <c r="J647" s="5"/>
      <c r="K647" s="6"/>
      <c r="L647" s="5"/>
      <c r="M647" s="6"/>
      <c r="N647" s="6"/>
      <c r="O647" s="6"/>
    </row>
    <row r="648" spans="1:15">
      <c r="A648" s="3" t="str">
        <f t="shared" si="20"/>
        <v/>
      </c>
      <c r="B648" s="3"/>
      <c r="C648" s="22"/>
      <c r="D648" s="4" t="str">
        <f>IF(C648="","",IFERROR(VLOOKUP(C648,'Calibrated Tools Register'!B:C,2,FALSE),"NOT registered"))</f>
        <v/>
      </c>
      <c r="E648" s="3"/>
      <c r="F648" s="4"/>
      <c r="G648" s="3"/>
      <c r="H648" s="3" t="str">
        <f ca="1">IFERROR(VLOOKUP(C648,'Calibrated Tools Register'!B:M,12,FALSE)-TODAY(),"")</f>
        <v/>
      </c>
      <c r="I648" s="3" t="str">
        <f t="shared" ca="1" si="21"/>
        <v/>
      </c>
      <c r="J648" s="3"/>
      <c r="K648" s="4"/>
      <c r="L648" s="3"/>
      <c r="M648" s="4"/>
      <c r="N648" s="4"/>
      <c r="O648" s="4"/>
    </row>
    <row r="649" spans="1:15">
      <c r="A649" s="3" t="str">
        <f t="shared" si="20"/>
        <v/>
      </c>
      <c r="B649" s="5"/>
      <c r="C649" s="23"/>
      <c r="D649" s="4" t="str">
        <f>IF(C649="","",IFERROR(VLOOKUP(C649,'Calibrated Tools Register'!B:C,2,FALSE),"NOT registered"))</f>
        <v/>
      </c>
      <c r="E649" s="5"/>
      <c r="F649" s="6"/>
      <c r="G649" s="5"/>
      <c r="H649" s="5" t="str">
        <f ca="1">IFERROR(VLOOKUP(C649,'Calibrated Tools Register'!B:M,12,FALSE)-TODAY(),"")</f>
        <v/>
      </c>
      <c r="I649" s="3" t="str">
        <f t="shared" ca="1" si="21"/>
        <v/>
      </c>
      <c r="J649" s="5"/>
      <c r="K649" s="6"/>
      <c r="L649" s="5"/>
      <c r="M649" s="6"/>
      <c r="N649" s="6"/>
      <c r="O649" s="6"/>
    </row>
    <row r="650" spans="1:15">
      <c r="A650" s="3" t="str">
        <f t="shared" si="20"/>
        <v/>
      </c>
      <c r="B650" s="3"/>
      <c r="C650" s="22"/>
      <c r="D650" s="4" t="str">
        <f>IF(C650="","",IFERROR(VLOOKUP(C650,'Calibrated Tools Register'!B:C,2,FALSE),"NOT registered"))</f>
        <v/>
      </c>
      <c r="E650" s="3"/>
      <c r="F650" s="4"/>
      <c r="G650" s="3"/>
      <c r="H650" s="3" t="str">
        <f ca="1">IFERROR(VLOOKUP(C650,'Calibrated Tools Register'!B:M,12,FALSE)-TODAY(),"")</f>
        <v/>
      </c>
      <c r="I650" s="3" t="str">
        <f t="shared" ca="1" si="21"/>
        <v/>
      </c>
      <c r="J650" s="3"/>
      <c r="K650" s="4"/>
      <c r="L650" s="3"/>
      <c r="M650" s="4"/>
      <c r="N650" s="4"/>
      <c r="O650" s="4"/>
    </row>
    <row r="651" spans="1:15">
      <c r="A651" s="3" t="str">
        <f t="shared" si="20"/>
        <v/>
      </c>
      <c r="B651" s="5"/>
      <c r="C651" s="23"/>
      <c r="D651" s="4" t="str">
        <f>IF(C651="","",IFERROR(VLOOKUP(C651,'Calibrated Tools Register'!B:C,2,FALSE),"NOT registered"))</f>
        <v/>
      </c>
      <c r="E651" s="5"/>
      <c r="F651" s="6"/>
      <c r="G651" s="5"/>
      <c r="H651" s="5" t="str">
        <f ca="1">IFERROR(VLOOKUP(C651,'Calibrated Tools Register'!B:M,12,FALSE)-TODAY(),"")</f>
        <v/>
      </c>
      <c r="I651" s="3" t="str">
        <f t="shared" ca="1" si="21"/>
        <v/>
      </c>
      <c r="J651" s="5"/>
      <c r="K651" s="6"/>
      <c r="L651" s="5"/>
      <c r="M651" s="6"/>
      <c r="N651" s="6"/>
      <c r="O651" s="6"/>
    </row>
    <row r="652" spans="1:15">
      <c r="A652" s="3" t="str">
        <f t="shared" si="20"/>
        <v/>
      </c>
      <c r="B652" s="3"/>
      <c r="C652" s="22"/>
      <c r="D652" s="4" t="str">
        <f>IF(C652="","",IFERROR(VLOOKUP(C652,'Calibrated Tools Register'!B:C,2,FALSE),"NOT registered"))</f>
        <v/>
      </c>
      <c r="E652" s="3"/>
      <c r="F652" s="4"/>
      <c r="G652" s="3"/>
      <c r="H652" s="3" t="str">
        <f ca="1">IFERROR(VLOOKUP(C652,'Calibrated Tools Register'!B:M,12,FALSE)-TODAY(),"")</f>
        <v/>
      </c>
      <c r="I652" s="3" t="str">
        <f t="shared" ca="1" si="21"/>
        <v/>
      </c>
      <c r="J652" s="3"/>
      <c r="K652" s="4"/>
      <c r="L652" s="3"/>
      <c r="M652" s="4"/>
      <c r="N652" s="4"/>
      <c r="O652" s="4"/>
    </row>
    <row r="653" spans="1:15">
      <c r="A653" s="3" t="str">
        <f t="shared" si="20"/>
        <v/>
      </c>
      <c r="B653" s="5"/>
      <c r="C653" s="23"/>
      <c r="D653" s="4" t="str">
        <f>IF(C653="","",IFERROR(VLOOKUP(C653,'Calibrated Tools Register'!B:C,2,FALSE),"NOT registered"))</f>
        <v/>
      </c>
      <c r="E653" s="5"/>
      <c r="F653" s="6"/>
      <c r="G653" s="5"/>
      <c r="H653" s="5" t="str">
        <f ca="1">IFERROR(VLOOKUP(C653,'Calibrated Tools Register'!B:M,12,FALSE)-TODAY(),"")</f>
        <v/>
      </c>
      <c r="I653" s="3" t="str">
        <f t="shared" ca="1" si="21"/>
        <v/>
      </c>
      <c r="J653" s="5"/>
      <c r="K653" s="6"/>
      <c r="L653" s="5"/>
      <c r="M653" s="6"/>
      <c r="N653" s="6"/>
      <c r="O653" s="6"/>
    </row>
    <row r="654" spans="1:15">
      <c r="A654" s="3" t="str">
        <f t="shared" si="20"/>
        <v/>
      </c>
      <c r="B654" s="3"/>
      <c r="C654" s="22"/>
      <c r="D654" s="4" t="str">
        <f>IF(C654="","",IFERROR(VLOOKUP(C654,'Calibrated Tools Register'!B:C,2,FALSE),"NOT registered"))</f>
        <v/>
      </c>
      <c r="E654" s="3"/>
      <c r="F654" s="4"/>
      <c r="G654" s="3"/>
      <c r="H654" s="3" t="str">
        <f ca="1">IFERROR(VLOOKUP(C654,'Calibrated Tools Register'!B:M,12,FALSE)-TODAY(),"")</f>
        <v/>
      </c>
      <c r="I654" s="3" t="str">
        <f t="shared" ca="1" si="21"/>
        <v/>
      </c>
      <c r="J654" s="3"/>
      <c r="K654" s="4"/>
      <c r="L654" s="3"/>
      <c r="M654" s="4"/>
      <c r="N654" s="4"/>
      <c r="O654" s="4"/>
    </row>
    <row r="655" spans="1:15">
      <c r="A655" s="3" t="str">
        <f t="shared" si="20"/>
        <v/>
      </c>
      <c r="B655" s="5"/>
      <c r="C655" s="23"/>
      <c r="D655" s="4" t="str">
        <f>IF(C655="","",IFERROR(VLOOKUP(C655,'Calibrated Tools Register'!B:C,2,FALSE),"NOT registered"))</f>
        <v/>
      </c>
      <c r="E655" s="5"/>
      <c r="F655" s="6"/>
      <c r="G655" s="5"/>
      <c r="H655" s="5" t="str">
        <f ca="1">IFERROR(VLOOKUP(C655,'Calibrated Tools Register'!B:M,12,FALSE)-TODAY(),"")</f>
        <v/>
      </c>
      <c r="I655" s="3" t="str">
        <f t="shared" ca="1" si="21"/>
        <v/>
      </c>
      <c r="J655" s="5"/>
      <c r="K655" s="6"/>
      <c r="L655" s="5"/>
      <c r="M655" s="6"/>
      <c r="N655" s="6"/>
      <c r="O655" s="6"/>
    </row>
    <row r="656" spans="1:15">
      <c r="A656" s="3" t="str">
        <f t="shared" si="20"/>
        <v/>
      </c>
      <c r="B656" s="3"/>
      <c r="C656" s="22"/>
      <c r="D656" s="4" t="str">
        <f>IF(C656="","",IFERROR(VLOOKUP(C656,'Calibrated Tools Register'!B:C,2,FALSE),"NOT registered"))</f>
        <v/>
      </c>
      <c r="E656" s="3"/>
      <c r="F656" s="4"/>
      <c r="G656" s="3"/>
      <c r="H656" s="3" t="str">
        <f ca="1">IFERROR(VLOOKUP(C656,'Calibrated Tools Register'!B:M,12,FALSE)-TODAY(),"")</f>
        <v/>
      </c>
      <c r="I656" s="3" t="str">
        <f t="shared" ca="1" si="21"/>
        <v/>
      </c>
      <c r="J656" s="3"/>
      <c r="K656" s="4"/>
      <c r="L656" s="3"/>
      <c r="M656" s="4"/>
      <c r="N656" s="4"/>
      <c r="O656" s="4"/>
    </row>
    <row r="657" spans="1:15">
      <c r="A657" s="3" t="str">
        <f t="shared" si="20"/>
        <v/>
      </c>
      <c r="B657" s="5"/>
      <c r="C657" s="23"/>
      <c r="D657" s="4" t="str">
        <f>IF(C657="","",IFERROR(VLOOKUP(C657,'Calibrated Tools Register'!B:C,2,FALSE),"NOT registered"))</f>
        <v/>
      </c>
      <c r="E657" s="5"/>
      <c r="F657" s="6"/>
      <c r="G657" s="5"/>
      <c r="H657" s="5" t="str">
        <f ca="1">IFERROR(VLOOKUP(C657,'Calibrated Tools Register'!B:M,12,FALSE)-TODAY(),"")</f>
        <v/>
      </c>
      <c r="I657" s="3" t="str">
        <f t="shared" ca="1" si="21"/>
        <v/>
      </c>
      <c r="J657" s="5"/>
      <c r="K657" s="6"/>
      <c r="L657" s="5"/>
      <c r="M657" s="6"/>
      <c r="N657" s="6"/>
      <c r="O657" s="6"/>
    </row>
    <row r="658" spans="1:15">
      <c r="A658" s="3" t="str">
        <f t="shared" si="20"/>
        <v/>
      </c>
      <c r="B658" s="3"/>
      <c r="C658" s="22"/>
      <c r="D658" s="4" t="str">
        <f>IF(C658="","",IFERROR(VLOOKUP(C658,'Calibrated Tools Register'!B:C,2,FALSE),"NOT registered"))</f>
        <v/>
      </c>
      <c r="E658" s="3"/>
      <c r="F658" s="4"/>
      <c r="G658" s="3"/>
      <c r="H658" s="3" t="str">
        <f ca="1">IFERROR(VLOOKUP(C658,'Calibrated Tools Register'!B:M,12,FALSE)-TODAY(),"")</f>
        <v/>
      </c>
      <c r="I658" s="3" t="str">
        <f t="shared" ca="1" si="21"/>
        <v/>
      </c>
      <c r="J658" s="3"/>
      <c r="K658" s="4"/>
      <c r="L658" s="3"/>
      <c r="M658" s="4"/>
      <c r="N658" s="4"/>
      <c r="O658" s="4"/>
    </row>
    <row r="659" spans="1:15">
      <c r="A659" s="3" t="str">
        <f t="shared" si="20"/>
        <v/>
      </c>
      <c r="B659" s="5"/>
      <c r="C659" s="23"/>
      <c r="D659" s="4" t="str">
        <f>IF(C659="","",IFERROR(VLOOKUP(C659,'Calibrated Tools Register'!B:C,2,FALSE),"NOT registered"))</f>
        <v/>
      </c>
      <c r="E659" s="5"/>
      <c r="F659" s="6"/>
      <c r="G659" s="5"/>
      <c r="H659" s="5" t="str">
        <f ca="1">IFERROR(VLOOKUP(C659,'Calibrated Tools Register'!B:M,12,FALSE)-TODAY(),"")</f>
        <v/>
      </c>
      <c r="I659" s="3" t="str">
        <f t="shared" ca="1" si="21"/>
        <v/>
      </c>
      <c r="J659" s="5"/>
      <c r="K659" s="6"/>
      <c r="L659" s="5"/>
      <c r="M659" s="6"/>
      <c r="N659" s="6"/>
      <c r="O659" s="6"/>
    </row>
    <row r="660" spans="1:15">
      <c r="A660" s="3" t="str">
        <f t="shared" si="20"/>
        <v/>
      </c>
      <c r="B660" s="3"/>
      <c r="C660" s="22"/>
      <c r="D660" s="4" t="str">
        <f>IF(C660="","",IFERROR(VLOOKUP(C660,'Calibrated Tools Register'!B:C,2,FALSE),"NOT registered"))</f>
        <v/>
      </c>
      <c r="E660" s="3"/>
      <c r="F660" s="4"/>
      <c r="G660" s="3"/>
      <c r="H660" s="3" t="str">
        <f ca="1">IFERROR(VLOOKUP(C660,'Calibrated Tools Register'!B:M,12,FALSE)-TODAY(),"")</f>
        <v/>
      </c>
      <c r="I660" s="3" t="str">
        <f t="shared" ca="1" si="21"/>
        <v/>
      </c>
      <c r="J660" s="3"/>
      <c r="K660" s="4"/>
      <c r="L660" s="3"/>
      <c r="M660" s="4"/>
      <c r="N660" s="4"/>
      <c r="O660" s="4"/>
    </row>
    <row r="661" spans="1:15">
      <c r="A661" s="3" t="str">
        <f t="shared" si="20"/>
        <v/>
      </c>
      <c r="B661" s="5"/>
      <c r="C661" s="23"/>
      <c r="D661" s="4" t="str">
        <f>IF(C661="","",IFERROR(VLOOKUP(C661,'Calibrated Tools Register'!B:C,2,FALSE),"NOT registered"))</f>
        <v/>
      </c>
      <c r="E661" s="5"/>
      <c r="F661" s="6"/>
      <c r="G661" s="5"/>
      <c r="H661" s="5" t="str">
        <f ca="1">IFERROR(VLOOKUP(C661,'Calibrated Tools Register'!B:M,12,FALSE)-TODAY(),"")</f>
        <v/>
      </c>
      <c r="I661" s="3" t="str">
        <f t="shared" ca="1" si="21"/>
        <v/>
      </c>
      <c r="J661" s="5"/>
      <c r="K661" s="6"/>
      <c r="L661" s="5"/>
      <c r="M661" s="6"/>
      <c r="N661" s="6"/>
      <c r="O661" s="6"/>
    </row>
    <row r="662" spans="1:15">
      <c r="A662" s="3" t="str">
        <f t="shared" si="20"/>
        <v/>
      </c>
      <c r="B662" s="3"/>
      <c r="C662" s="22"/>
      <c r="D662" s="4" t="str">
        <f>IF(C662="","",IFERROR(VLOOKUP(C662,'Calibrated Tools Register'!B:C,2,FALSE),"NOT registered"))</f>
        <v/>
      </c>
      <c r="E662" s="3"/>
      <c r="F662" s="4"/>
      <c r="G662" s="3"/>
      <c r="H662" s="3" t="str">
        <f ca="1">IFERROR(VLOOKUP(C662,'Calibrated Tools Register'!B:M,12,FALSE)-TODAY(),"")</f>
        <v/>
      </c>
      <c r="I662" s="3" t="str">
        <f t="shared" ca="1" si="21"/>
        <v/>
      </c>
      <c r="J662" s="3"/>
      <c r="K662" s="4"/>
      <c r="L662" s="3"/>
      <c r="M662" s="4"/>
      <c r="N662" s="4"/>
      <c r="O662" s="4"/>
    </row>
    <row r="663" spans="1:15">
      <c r="A663" s="3" t="str">
        <f t="shared" si="20"/>
        <v/>
      </c>
      <c r="B663" s="5"/>
      <c r="C663" s="23"/>
      <c r="D663" s="4" t="str">
        <f>IF(C663="","",IFERROR(VLOOKUP(C663,'Calibrated Tools Register'!B:C,2,FALSE),"NOT registered"))</f>
        <v/>
      </c>
      <c r="E663" s="5"/>
      <c r="F663" s="6"/>
      <c r="G663" s="5"/>
      <c r="H663" s="5" t="str">
        <f ca="1">IFERROR(VLOOKUP(C663,'Calibrated Tools Register'!B:M,12,FALSE)-TODAY(),"")</f>
        <v/>
      </c>
      <c r="I663" s="3" t="str">
        <f t="shared" ca="1" si="21"/>
        <v/>
      </c>
      <c r="J663" s="5"/>
      <c r="K663" s="6"/>
      <c r="L663" s="5"/>
      <c r="M663" s="6"/>
      <c r="N663" s="6"/>
      <c r="O663" s="6"/>
    </row>
    <row r="664" spans="1:15">
      <c r="A664" s="3" t="str">
        <f t="shared" si="20"/>
        <v/>
      </c>
      <c r="B664" s="3"/>
      <c r="C664" s="22"/>
      <c r="D664" s="4" t="str">
        <f>IF(C664="","",IFERROR(VLOOKUP(C664,'Calibrated Tools Register'!B:C,2,FALSE),"NOT registered"))</f>
        <v/>
      </c>
      <c r="E664" s="3"/>
      <c r="F664" s="4"/>
      <c r="G664" s="3"/>
      <c r="H664" s="3" t="str">
        <f ca="1">IFERROR(VLOOKUP(C664,'Calibrated Tools Register'!B:M,12,FALSE)-TODAY(),"")</f>
        <v/>
      </c>
      <c r="I664" s="3" t="str">
        <f t="shared" ca="1" si="21"/>
        <v/>
      </c>
      <c r="J664" s="3"/>
      <c r="K664" s="4"/>
      <c r="L664" s="3"/>
      <c r="M664" s="4"/>
      <c r="N664" s="4"/>
      <c r="O664" s="4"/>
    </row>
    <row r="665" spans="1:15">
      <c r="A665" s="3" t="str">
        <f t="shared" si="20"/>
        <v/>
      </c>
      <c r="B665" s="5"/>
      <c r="C665" s="23"/>
      <c r="D665" s="4" t="str">
        <f>IF(C665="","",IFERROR(VLOOKUP(C665,'Calibrated Tools Register'!B:C,2,FALSE),"NOT registered"))</f>
        <v/>
      </c>
      <c r="E665" s="5"/>
      <c r="F665" s="6"/>
      <c r="G665" s="5"/>
      <c r="H665" s="5" t="str">
        <f ca="1">IFERROR(VLOOKUP(C665,'Calibrated Tools Register'!B:M,12,FALSE)-TODAY(),"")</f>
        <v/>
      </c>
      <c r="I665" s="3" t="str">
        <f t="shared" ca="1" si="21"/>
        <v/>
      </c>
      <c r="J665" s="5"/>
      <c r="K665" s="6"/>
      <c r="L665" s="5"/>
      <c r="M665" s="6"/>
      <c r="N665" s="6"/>
      <c r="O665" s="6"/>
    </row>
    <row r="666" spans="1:15">
      <c r="A666" s="3" t="str">
        <f t="shared" si="20"/>
        <v/>
      </c>
      <c r="B666" s="3"/>
      <c r="C666" s="22"/>
      <c r="D666" s="4" t="str">
        <f>IF(C666="","",IFERROR(VLOOKUP(C666,'Calibrated Tools Register'!B:C,2,FALSE),"NOT registered"))</f>
        <v/>
      </c>
      <c r="E666" s="3"/>
      <c r="F666" s="4"/>
      <c r="G666" s="3"/>
      <c r="H666" s="3" t="str">
        <f ca="1">IFERROR(VLOOKUP(C666,'Calibrated Tools Register'!B:M,12,FALSE)-TODAY(),"")</f>
        <v/>
      </c>
      <c r="I666" s="3" t="str">
        <f t="shared" ca="1" si="21"/>
        <v/>
      </c>
      <c r="J666" s="3"/>
      <c r="K666" s="4"/>
      <c r="L666" s="3"/>
      <c r="M666" s="4"/>
      <c r="N666" s="4"/>
      <c r="O666" s="4"/>
    </row>
    <row r="667" spans="1:15">
      <c r="A667" s="3" t="str">
        <f t="shared" si="20"/>
        <v/>
      </c>
      <c r="B667" s="5"/>
      <c r="C667" s="23"/>
      <c r="D667" s="4" t="str">
        <f>IF(C667="","",IFERROR(VLOOKUP(C667,'Calibrated Tools Register'!B:C,2,FALSE),"NOT registered"))</f>
        <v/>
      </c>
      <c r="E667" s="5"/>
      <c r="F667" s="6"/>
      <c r="G667" s="5"/>
      <c r="H667" s="5" t="str">
        <f ca="1">IFERROR(VLOOKUP(C667,'Calibrated Tools Register'!B:M,12,FALSE)-TODAY(),"")</f>
        <v/>
      </c>
      <c r="I667" s="3" t="str">
        <f t="shared" ca="1" si="21"/>
        <v/>
      </c>
      <c r="J667" s="5"/>
      <c r="K667" s="6"/>
      <c r="L667" s="5"/>
      <c r="M667" s="6"/>
      <c r="N667" s="6"/>
      <c r="O667" s="6"/>
    </row>
    <row r="668" spans="1:15">
      <c r="A668" s="3" t="str">
        <f t="shared" si="20"/>
        <v/>
      </c>
      <c r="B668" s="3"/>
      <c r="C668" s="22"/>
      <c r="D668" s="4" t="str">
        <f>IF(C668="","",IFERROR(VLOOKUP(C668,'Calibrated Tools Register'!B:C,2,FALSE),"NOT registered"))</f>
        <v/>
      </c>
      <c r="E668" s="3"/>
      <c r="F668" s="4"/>
      <c r="G668" s="3"/>
      <c r="H668" s="3" t="str">
        <f ca="1">IFERROR(VLOOKUP(C668,'Calibrated Tools Register'!B:M,12,FALSE)-TODAY(),"")</f>
        <v/>
      </c>
      <c r="I668" s="3" t="str">
        <f t="shared" ca="1" si="21"/>
        <v/>
      </c>
      <c r="J668" s="3"/>
      <c r="K668" s="4"/>
      <c r="L668" s="3"/>
      <c r="M668" s="4"/>
      <c r="N668" s="4"/>
      <c r="O668" s="4"/>
    </row>
    <row r="669" spans="1:15">
      <c r="A669" s="3" t="str">
        <f t="shared" si="20"/>
        <v/>
      </c>
      <c r="B669" s="5"/>
      <c r="C669" s="23"/>
      <c r="D669" s="4" t="str">
        <f>IF(C669="","",IFERROR(VLOOKUP(C669,'Calibrated Tools Register'!B:C,2,FALSE),"NOT registered"))</f>
        <v/>
      </c>
      <c r="E669" s="5"/>
      <c r="F669" s="6"/>
      <c r="G669" s="5"/>
      <c r="H669" s="5" t="str">
        <f ca="1">IFERROR(VLOOKUP(C669,'Calibrated Tools Register'!B:M,12,FALSE)-TODAY(),"")</f>
        <v/>
      </c>
      <c r="I669" s="3" t="str">
        <f t="shared" ca="1" si="21"/>
        <v/>
      </c>
      <c r="J669" s="5"/>
      <c r="K669" s="6"/>
      <c r="L669" s="5"/>
      <c r="M669" s="6"/>
      <c r="N669" s="6"/>
      <c r="O669" s="6"/>
    </row>
    <row r="670" spans="1:15">
      <c r="A670" s="3" t="str">
        <f t="shared" si="20"/>
        <v/>
      </c>
      <c r="B670" s="3"/>
      <c r="C670" s="22"/>
      <c r="D670" s="4" t="str">
        <f>IF(C670="","",IFERROR(VLOOKUP(C670,'Calibrated Tools Register'!B:C,2,FALSE),"NOT registered"))</f>
        <v/>
      </c>
      <c r="E670" s="3"/>
      <c r="F670" s="4"/>
      <c r="G670" s="3"/>
      <c r="H670" s="3" t="str">
        <f ca="1">IFERROR(VLOOKUP(C670,'Calibrated Tools Register'!B:M,12,FALSE)-TODAY(),"")</f>
        <v/>
      </c>
      <c r="I670" s="3" t="str">
        <f t="shared" ca="1" si="21"/>
        <v/>
      </c>
      <c r="J670" s="3"/>
      <c r="K670" s="4"/>
      <c r="L670" s="3"/>
      <c r="M670" s="4"/>
      <c r="N670" s="4"/>
      <c r="O670" s="4"/>
    </row>
    <row r="671" spans="1:15">
      <c r="A671" s="3" t="str">
        <f t="shared" si="20"/>
        <v/>
      </c>
      <c r="B671" s="5"/>
      <c r="C671" s="23"/>
      <c r="D671" s="4" t="str">
        <f>IF(C671="","",IFERROR(VLOOKUP(C671,'Calibrated Tools Register'!B:C,2,FALSE),"NOT registered"))</f>
        <v/>
      </c>
      <c r="E671" s="5"/>
      <c r="F671" s="6"/>
      <c r="G671" s="5"/>
      <c r="H671" s="5" t="str">
        <f ca="1">IFERROR(VLOOKUP(C671,'Calibrated Tools Register'!B:M,12,FALSE)-TODAY(),"")</f>
        <v/>
      </c>
      <c r="I671" s="3" t="str">
        <f t="shared" ca="1" si="21"/>
        <v/>
      </c>
      <c r="J671" s="5"/>
      <c r="K671" s="6"/>
      <c r="L671" s="5"/>
      <c r="M671" s="6"/>
      <c r="N671" s="6"/>
      <c r="O671" s="6"/>
    </row>
    <row r="672" spans="1:15">
      <c r="A672" s="3" t="str">
        <f t="shared" si="20"/>
        <v/>
      </c>
      <c r="B672" s="3"/>
      <c r="C672" s="22"/>
      <c r="D672" s="4" t="str">
        <f>IF(C672="","",IFERROR(VLOOKUP(C672,'Calibrated Tools Register'!B:C,2,FALSE),"NOT registered"))</f>
        <v/>
      </c>
      <c r="E672" s="3"/>
      <c r="F672" s="4"/>
      <c r="G672" s="3"/>
      <c r="H672" s="3" t="str">
        <f ca="1">IFERROR(VLOOKUP(C672,'Calibrated Tools Register'!B:M,12,FALSE)-TODAY(),"")</f>
        <v/>
      </c>
      <c r="I672" s="3" t="str">
        <f t="shared" ca="1" si="21"/>
        <v/>
      </c>
      <c r="J672" s="3"/>
      <c r="K672" s="4"/>
      <c r="L672" s="3"/>
      <c r="M672" s="4"/>
      <c r="N672" s="4"/>
      <c r="O672" s="4"/>
    </row>
    <row r="673" spans="1:15">
      <c r="A673" s="3" t="str">
        <f t="shared" si="20"/>
        <v/>
      </c>
      <c r="B673" s="5"/>
      <c r="C673" s="23"/>
      <c r="D673" s="4" t="str">
        <f>IF(C673="","",IFERROR(VLOOKUP(C673,'Calibrated Tools Register'!B:C,2,FALSE),"NOT registered"))</f>
        <v/>
      </c>
      <c r="E673" s="5"/>
      <c r="F673" s="6"/>
      <c r="G673" s="5"/>
      <c r="H673" s="5" t="str">
        <f ca="1">IFERROR(VLOOKUP(C673,'Calibrated Tools Register'!B:M,12,FALSE)-TODAY(),"")</f>
        <v/>
      </c>
      <c r="I673" s="3" t="str">
        <f t="shared" ca="1" si="21"/>
        <v/>
      </c>
      <c r="J673" s="5"/>
      <c r="K673" s="6"/>
      <c r="L673" s="5"/>
      <c r="M673" s="6"/>
      <c r="N673" s="6"/>
      <c r="O673" s="6"/>
    </row>
    <row r="674" spans="1:15">
      <c r="A674" s="3" t="str">
        <f t="shared" si="20"/>
        <v/>
      </c>
      <c r="B674" s="3"/>
      <c r="C674" s="22"/>
      <c r="D674" s="4" t="str">
        <f>IF(C674="","",IFERROR(VLOOKUP(C674,'Calibrated Tools Register'!B:C,2,FALSE),"NOT registered"))</f>
        <v/>
      </c>
      <c r="E674" s="3"/>
      <c r="F674" s="4"/>
      <c r="G674" s="3"/>
      <c r="H674" s="3" t="str">
        <f ca="1">IFERROR(VLOOKUP(C674,'Calibrated Tools Register'!B:M,12,FALSE)-TODAY(),"")</f>
        <v/>
      </c>
      <c r="I674" s="3" t="str">
        <f t="shared" ca="1" si="21"/>
        <v/>
      </c>
      <c r="J674" s="3"/>
      <c r="K674" s="4"/>
      <c r="L674" s="3"/>
      <c r="M674" s="4"/>
      <c r="N674" s="4"/>
      <c r="O674" s="4"/>
    </row>
    <row r="675" spans="1:15">
      <c r="A675" s="3" t="str">
        <f t="shared" si="20"/>
        <v/>
      </c>
      <c r="B675" s="5"/>
      <c r="C675" s="23"/>
      <c r="D675" s="4" t="str">
        <f>IF(C675="","",IFERROR(VLOOKUP(C675,'Calibrated Tools Register'!B:C,2,FALSE),"NOT registered"))</f>
        <v/>
      </c>
      <c r="E675" s="5"/>
      <c r="F675" s="6"/>
      <c r="G675" s="5"/>
      <c r="H675" s="5" t="str">
        <f ca="1">IFERROR(VLOOKUP(C675,'Calibrated Tools Register'!B:M,12,FALSE)-TODAY(),"")</f>
        <v/>
      </c>
      <c r="I675" s="3" t="str">
        <f t="shared" ca="1" si="21"/>
        <v/>
      </c>
      <c r="J675" s="5"/>
      <c r="K675" s="6"/>
      <c r="L675" s="5"/>
      <c r="M675" s="6"/>
      <c r="N675" s="6"/>
      <c r="O675" s="6"/>
    </row>
    <row r="676" spans="1:15">
      <c r="A676" s="3" t="str">
        <f t="shared" si="20"/>
        <v/>
      </c>
      <c r="B676" s="3"/>
      <c r="C676" s="22"/>
      <c r="D676" s="4" t="str">
        <f>IF(C676="","",IFERROR(VLOOKUP(C676,'Calibrated Tools Register'!B:C,2,FALSE),"NOT registered"))</f>
        <v/>
      </c>
      <c r="E676" s="3"/>
      <c r="F676" s="4"/>
      <c r="G676" s="3"/>
      <c r="H676" s="3" t="str">
        <f ca="1">IFERROR(VLOOKUP(C676,'Calibrated Tools Register'!B:M,12,FALSE)-TODAY(),"")</f>
        <v/>
      </c>
      <c r="I676" s="3" t="str">
        <f t="shared" ca="1" si="21"/>
        <v/>
      </c>
      <c r="J676" s="3"/>
      <c r="K676" s="4"/>
      <c r="L676" s="3"/>
      <c r="M676" s="4"/>
      <c r="N676" s="4"/>
      <c r="O676" s="4"/>
    </row>
    <row r="677" spans="1:15">
      <c r="A677" s="3" t="str">
        <f t="shared" si="20"/>
        <v/>
      </c>
      <c r="B677" s="5"/>
      <c r="C677" s="23"/>
      <c r="D677" s="4" t="str">
        <f>IF(C677="","",IFERROR(VLOOKUP(C677,'Calibrated Tools Register'!B:C,2,FALSE),"NOT registered"))</f>
        <v/>
      </c>
      <c r="E677" s="5"/>
      <c r="F677" s="6"/>
      <c r="G677" s="5"/>
      <c r="H677" s="5" t="str">
        <f ca="1">IFERROR(VLOOKUP(C677,'Calibrated Tools Register'!B:M,12,FALSE)-TODAY(),"")</f>
        <v/>
      </c>
      <c r="I677" s="3" t="str">
        <f t="shared" ca="1" si="21"/>
        <v/>
      </c>
      <c r="J677" s="5"/>
      <c r="K677" s="6"/>
      <c r="L677" s="5"/>
      <c r="M677" s="6"/>
      <c r="N677" s="6"/>
      <c r="O677" s="6"/>
    </row>
    <row r="678" spans="1:15">
      <c r="A678" s="3" t="str">
        <f t="shared" si="20"/>
        <v/>
      </c>
      <c r="B678" s="3"/>
      <c r="C678" s="22"/>
      <c r="D678" s="4" t="str">
        <f>IF(C678="","",IFERROR(VLOOKUP(C678,'Calibrated Tools Register'!B:C,2,FALSE),"NOT registered"))</f>
        <v/>
      </c>
      <c r="E678" s="3"/>
      <c r="F678" s="4"/>
      <c r="G678" s="3"/>
      <c r="H678" s="3" t="str">
        <f ca="1">IFERROR(VLOOKUP(C678,'Calibrated Tools Register'!B:M,12,FALSE)-TODAY(),"")</f>
        <v/>
      </c>
      <c r="I678" s="3" t="str">
        <f t="shared" ca="1" si="21"/>
        <v/>
      </c>
      <c r="J678" s="3"/>
      <c r="K678" s="4"/>
      <c r="L678" s="3"/>
      <c r="M678" s="4"/>
      <c r="N678" s="4"/>
      <c r="O678" s="4"/>
    </row>
    <row r="679" spans="1:15">
      <c r="A679" s="3" t="str">
        <f t="shared" si="20"/>
        <v/>
      </c>
      <c r="B679" s="5"/>
      <c r="C679" s="23"/>
      <c r="D679" s="4" t="str">
        <f>IF(C679="","",IFERROR(VLOOKUP(C679,'Calibrated Tools Register'!B:C,2,FALSE),"NOT registered"))</f>
        <v/>
      </c>
      <c r="E679" s="5"/>
      <c r="F679" s="6"/>
      <c r="G679" s="5"/>
      <c r="H679" s="5" t="str">
        <f ca="1">IFERROR(VLOOKUP(C679,'Calibrated Tools Register'!B:M,12,FALSE)-TODAY(),"")</f>
        <v/>
      </c>
      <c r="I679" s="3" t="str">
        <f t="shared" ca="1" si="21"/>
        <v/>
      </c>
      <c r="J679" s="5"/>
      <c r="K679" s="6"/>
      <c r="L679" s="5"/>
      <c r="M679" s="6"/>
      <c r="N679" s="6"/>
      <c r="O679" s="6"/>
    </row>
    <row r="680" spans="1:15">
      <c r="A680" s="3" t="str">
        <f t="shared" si="20"/>
        <v/>
      </c>
      <c r="B680" s="3"/>
      <c r="C680" s="22"/>
      <c r="D680" s="4" t="str">
        <f>IF(C680="","",IFERROR(VLOOKUP(C680,'Calibrated Tools Register'!B:C,2,FALSE),"NOT registered"))</f>
        <v/>
      </c>
      <c r="E680" s="3"/>
      <c r="F680" s="4"/>
      <c r="G680" s="3"/>
      <c r="H680" s="3" t="str">
        <f ca="1">IFERROR(VLOOKUP(C680,'Calibrated Tools Register'!B:M,12,FALSE)-TODAY(),"")</f>
        <v/>
      </c>
      <c r="I680" s="3" t="str">
        <f t="shared" ca="1" si="21"/>
        <v/>
      </c>
      <c r="J680" s="3"/>
      <c r="K680" s="4"/>
      <c r="L680" s="3"/>
      <c r="M680" s="4"/>
      <c r="N680" s="4"/>
      <c r="O680" s="4"/>
    </row>
    <row r="681" spans="1:15">
      <c r="A681" s="3" t="str">
        <f t="shared" si="20"/>
        <v/>
      </c>
      <c r="B681" s="5"/>
      <c r="C681" s="23"/>
      <c r="D681" s="4" t="str">
        <f>IF(C681="","",IFERROR(VLOOKUP(C681,'Calibrated Tools Register'!B:C,2,FALSE),"NOT registered"))</f>
        <v/>
      </c>
      <c r="E681" s="5"/>
      <c r="F681" s="6"/>
      <c r="G681" s="5"/>
      <c r="H681" s="5" t="str">
        <f ca="1">IFERROR(VLOOKUP(C681,'Calibrated Tools Register'!B:M,12,FALSE)-TODAY(),"")</f>
        <v/>
      </c>
      <c r="I681" s="3" t="str">
        <f t="shared" ca="1" si="21"/>
        <v/>
      </c>
      <c r="J681" s="5"/>
      <c r="K681" s="6"/>
      <c r="L681" s="5"/>
      <c r="M681" s="6"/>
      <c r="N681" s="6"/>
      <c r="O681" s="6"/>
    </row>
    <row r="682" spans="1:15">
      <c r="A682" s="3" t="str">
        <f t="shared" si="20"/>
        <v/>
      </c>
      <c r="B682" s="3"/>
      <c r="C682" s="22"/>
      <c r="D682" s="4" t="str">
        <f>IF(C682="","",IFERROR(VLOOKUP(C682,'Calibrated Tools Register'!B:C,2,FALSE),"NOT registered"))</f>
        <v/>
      </c>
      <c r="E682" s="3"/>
      <c r="F682" s="4"/>
      <c r="G682" s="3"/>
      <c r="H682" s="3" t="str">
        <f ca="1">IFERROR(VLOOKUP(C682,'Calibrated Tools Register'!B:M,12,FALSE)-TODAY(),"")</f>
        <v/>
      </c>
      <c r="I682" s="3" t="str">
        <f t="shared" ca="1" si="21"/>
        <v/>
      </c>
      <c r="J682" s="3"/>
      <c r="K682" s="4"/>
      <c r="L682" s="3"/>
      <c r="M682" s="4"/>
      <c r="N682" s="4"/>
      <c r="O682" s="4"/>
    </row>
    <row r="683" spans="1:15">
      <c r="A683" s="3" t="str">
        <f t="shared" si="20"/>
        <v/>
      </c>
      <c r="B683" s="5"/>
      <c r="C683" s="23"/>
      <c r="D683" s="4" t="str">
        <f>IF(C683="","",IFERROR(VLOOKUP(C683,'Calibrated Tools Register'!B:C,2,FALSE),"NOT registered"))</f>
        <v/>
      </c>
      <c r="E683" s="5"/>
      <c r="F683" s="6"/>
      <c r="G683" s="5"/>
      <c r="H683" s="5" t="str">
        <f ca="1">IFERROR(VLOOKUP(C683,'Calibrated Tools Register'!B:M,12,FALSE)-TODAY(),"")</f>
        <v/>
      </c>
      <c r="I683" s="3" t="str">
        <f t="shared" ca="1" si="21"/>
        <v/>
      </c>
      <c r="J683" s="5"/>
      <c r="K683" s="6"/>
      <c r="L683" s="5"/>
      <c r="M683" s="6"/>
      <c r="N683" s="6"/>
      <c r="O683" s="6"/>
    </row>
    <row r="684" spans="1:15">
      <c r="A684" s="3" t="str">
        <f t="shared" si="20"/>
        <v/>
      </c>
      <c r="B684" s="3"/>
      <c r="C684" s="22"/>
      <c r="D684" s="4" t="str">
        <f>IF(C684="","",IFERROR(VLOOKUP(C684,'Calibrated Tools Register'!B:C,2,FALSE),"NOT registered"))</f>
        <v/>
      </c>
      <c r="E684" s="3"/>
      <c r="F684" s="4"/>
      <c r="G684" s="3"/>
      <c r="H684" s="3" t="str">
        <f ca="1">IFERROR(VLOOKUP(C684,'Calibrated Tools Register'!B:M,12,FALSE)-TODAY(),"")</f>
        <v/>
      </c>
      <c r="I684" s="3" t="str">
        <f t="shared" ca="1" si="21"/>
        <v/>
      </c>
      <c r="J684" s="3"/>
      <c r="K684" s="4"/>
      <c r="L684" s="3"/>
      <c r="M684" s="4"/>
      <c r="N684" s="4"/>
      <c r="O684" s="4"/>
    </row>
    <row r="685" spans="1:15">
      <c r="A685" s="3" t="str">
        <f t="shared" si="20"/>
        <v/>
      </c>
      <c r="B685" s="5"/>
      <c r="C685" s="23"/>
      <c r="D685" s="4" t="str">
        <f>IF(C685="","",IFERROR(VLOOKUP(C685,'Calibrated Tools Register'!B:C,2,FALSE),"NOT registered"))</f>
        <v/>
      </c>
      <c r="E685" s="5"/>
      <c r="F685" s="6"/>
      <c r="G685" s="5"/>
      <c r="H685" s="5" t="str">
        <f ca="1">IFERROR(VLOOKUP(C685,'Calibrated Tools Register'!B:M,12,FALSE)-TODAY(),"")</f>
        <v/>
      </c>
      <c r="I685" s="3" t="str">
        <f t="shared" ca="1" si="21"/>
        <v/>
      </c>
      <c r="J685" s="5"/>
      <c r="K685" s="6"/>
      <c r="L685" s="5"/>
      <c r="M685" s="6"/>
      <c r="N685" s="6"/>
      <c r="O685" s="6"/>
    </row>
    <row r="686" spans="1:15">
      <c r="A686" s="3" t="str">
        <f t="shared" si="20"/>
        <v/>
      </c>
      <c r="B686" s="3"/>
      <c r="C686" s="22"/>
      <c r="D686" s="4" t="str">
        <f>IF(C686="","",IFERROR(VLOOKUP(C686,'Calibrated Tools Register'!B:C,2,FALSE),"NOT registered"))</f>
        <v/>
      </c>
      <c r="E686" s="3"/>
      <c r="F686" s="4"/>
      <c r="G686" s="3"/>
      <c r="H686" s="3" t="str">
        <f ca="1">IFERROR(VLOOKUP(C686,'Calibrated Tools Register'!B:M,12,FALSE)-TODAY(),"")</f>
        <v/>
      </c>
      <c r="I686" s="3" t="str">
        <f t="shared" ca="1" si="21"/>
        <v/>
      </c>
      <c r="J686" s="3"/>
      <c r="K686" s="4"/>
      <c r="L686" s="3"/>
      <c r="M686" s="4"/>
      <c r="N686" s="4"/>
      <c r="O686" s="4"/>
    </row>
    <row r="687" spans="1:15">
      <c r="A687" s="3" t="str">
        <f t="shared" si="20"/>
        <v/>
      </c>
      <c r="B687" s="5"/>
      <c r="C687" s="23"/>
      <c r="D687" s="4" t="str">
        <f>IF(C687="","",IFERROR(VLOOKUP(C687,'Calibrated Tools Register'!B:C,2,FALSE),"NOT registered"))</f>
        <v/>
      </c>
      <c r="E687" s="5"/>
      <c r="F687" s="6"/>
      <c r="G687" s="5"/>
      <c r="H687" s="5" t="str">
        <f ca="1">IFERROR(VLOOKUP(C687,'Calibrated Tools Register'!B:M,12,FALSE)-TODAY(),"")</f>
        <v/>
      </c>
      <c r="I687" s="3" t="str">
        <f t="shared" ca="1" si="21"/>
        <v/>
      </c>
      <c r="J687" s="5"/>
      <c r="K687" s="6"/>
      <c r="L687" s="5"/>
      <c r="M687" s="6"/>
      <c r="N687" s="6"/>
      <c r="O687" s="6"/>
    </row>
    <row r="688" spans="1:15">
      <c r="A688" s="3" t="str">
        <f t="shared" si="20"/>
        <v/>
      </c>
      <c r="B688" s="3"/>
      <c r="C688" s="22"/>
      <c r="D688" s="4" t="str">
        <f>IF(C688="","",IFERROR(VLOOKUP(C688,'Calibrated Tools Register'!B:C,2,FALSE),"NOT registered"))</f>
        <v/>
      </c>
      <c r="E688" s="3"/>
      <c r="F688" s="4"/>
      <c r="G688" s="3"/>
      <c r="H688" s="3" t="str">
        <f ca="1">IFERROR(VLOOKUP(C688,'Calibrated Tools Register'!B:M,12,FALSE)-TODAY(),"")</f>
        <v/>
      </c>
      <c r="I688" s="3" t="str">
        <f t="shared" ca="1" si="21"/>
        <v/>
      </c>
      <c r="J688" s="3"/>
      <c r="K688" s="4"/>
      <c r="L688" s="3"/>
      <c r="M688" s="4"/>
      <c r="N688" s="4"/>
      <c r="O688" s="4"/>
    </row>
    <row r="689" spans="1:15">
      <c r="A689" s="3" t="str">
        <f t="shared" si="20"/>
        <v/>
      </c>
      <c r="B689" s="5"/>
      <c r="C689" s="23"/>
      <c r="D689" s="4" t="str">
        <f>IF(C689="","",IFERROR(VLOOKUP(C689,'Calibrated Tools Register'!B:C,2,FALSE),"NOT registered"))</f>
        <v/>
      </c>
      <c r="E689" s="5"/>
      <c r="F689" s="6"/>
      <c r="G689" s="5"/>
      <c r="H689" s="5" t="str">
        <f ca="1">IFERROR(VLOOKUP(C689,'Calibrated Tools Register'!B:M,12,FALSE)-TODAY(),"")</f>
        <v/>
      </c>
      <c r="I689" s="3" t="str">
        <f t="shared" ca="1" si="21"/>
        <v/>
      </c>
      <c r="J689" s="5"/>
      <c r="K689" s="6"/>
      <c r="L689" s="5"/>
      <c r="M689" s="6"/>
      <c r="N689" s="6"/>
      <c r="O689" s="6"/>
    </row>
    <row r="690" spans="1:15">
      <c r="A690" s="3" t="str">
        <f t="shared" si="20"/>
        <v/>
      </c>
      <c r="B690" s="3"/>
      <c r="C690" s="22"/>
      <c r="D690" s="4" t="str">
        <f>IF(C690="","",IFERROR(VLOOKUP(C690,'Calibrated Tools Register'!B:C,2,FALSE),"NOT registered"))</f>
        <v/>
      </c>
      <c r="E690" s="3"/>
      <c r="F690" s="4"/>
      <c r="G690" s="3"/>
      <c r="H690" s="3" t="str">
        <f ca="1">IFERROR(VLOOKUP(C690,'Calibrated Tools Register'!B:M,12,FALSE)-TODAY(),"")</f>
        <v/>
      </c>
      <c r="I690" s="3" t="str">
        <f t="shared" ca="1" si="21"/>
        <v/>
      </c>
      <c r="J690" s="3"/>
      <c r="K690" s="4"/>
      <c r="L690" s="3"/>
      <c r="M690" s="4"/>
      <c r="N690" s="4"/>
      <c r="O690" s="4"/>
    </row>
    <row r="691" spans="1:15">
      <c r="A691" s="3" t="str">
        <f t="shared" si="20"/>
        <v/>
      </c>
      <c r="B691" s="5"/>
      <c r="C691" s="23"/>
      <c r="D691" s="4" t="str">
        <f>IF(C691="","",IFERROR(VLOOKUP(C691,'Calibrated Tools Register'!B:C,2,FALSE),"NOT registered"))</f>
        <v/>
      </c>
      <c r="E691" s="5"/>
      <c r="F691" s="6"/>
      <c r="G691" s="5"/>
      <c r="H691" s="5" t="str">
        <f ca="1">IFERROR(VLOOKUP(C691,'Calibrated Tools Register'!B:M,12,FALSE)-TODAY(),"")</f>
        <v/>
      </c>
      <c r="I691" s="3" t="str">
        <f t="shared" ca="1" si="21"/>
        <v/>
      </c>
      <c r="J691" s="5"/>
      <c r="K691" s="6"/>
      <c r="L691" s="5"/>
      <c r="M691" s="6"/>
      <c r="N691" s="6"/>
      <c r="O691" s="6"/>
    </row>
    <row r="692" spans="1:15">
      <c r="A692" s="3" t="str">
        <f t="shared" si="20"/>
        <v/>
      </c>
      <c r="B692" s="3"/>
      <c r="C692" s="22"/>
      <c r="D692" s="4" t="str">
        <f>IF(C692="","",IFERROR(VLOOKUP(C692,'Calibrated Tools Register'!B:C,2,FALSE),"NOT registered"))</f>
        <v/>
      </c>
      <c r="E692" s="3"/>
      <c r="F692" s="4"/>
      <c r="G692" s="3"/>
      <c r="H692" s="3" t="str">
        <f ca="1">IFERROR(VLOOKUP(C692,'Calibrated Tools Register'!B:M,12,FALSE)-TODAY(),"")</f>
        <v/>
      </c>
      <c r="I692" s="3" t="str">
        <f t="shared" ca="1" si="21"/>
        <v/>
      </c>
      <c r="J692" s="3"/>
      <c r="K692" s="4"/>
      <c r="L692" s="3"/>
      <c r="M692" s="4"/>
      <c r="N692" s="4"/>
      <c r="O692" s="4"/>
    </row>
    <row r="693" spans="1:15">
      <c r="A693" s="3" t="str">
        <f t="shared" si="20"/>
        <v/>
      </c>
      <c r="B693" s="5"/>
      <c r="C693" s="23"/>
      <c r="D693" s="4" t="str">
        <f>IF(C693="","",IFERROR(VLOOKUP(C693,'Calibrated Tools Register'!B:C,2,FALSE),"NOT registered"))</f>
        <v/>
      </c>
      <c r="E693" s="5"/>
      <c r="F693" s="6"/>
      <c r="G693" s="5"/>
      <c r="H693" s="5" t="str">
        <f ca="1">IFERROR(VLOOKUP(C693,'Calibrated Tools Register'!B:M,12,FALSE)-TODAY(),"")</f>
        <v/>
      </c>
      <c r="I693" s="3" t="str">
        <f t="shared" ca="1" si="21"/>
        <v/>
      </c>
      <c r="J693" s="5"/>
      <c r="K693" s="6"/>
      <c r="L693" s="5"/>
      <c r="M693" s="6"/>
      <c r="N693" s="6"/>
      <c r="O693" s="6"/>
    </row>
    <row r="694" spans="1:15">
      <c r="A694" s="3" t="str">
        <f t="shared" si="20"/>
        <v/>
      </c>
      <c r="B694" s="3"/>
      <c r="C694" s="22"/>
      <c r="D694" s="4" t="str">
        <f>IF(C694="","",IFERROR(VLOOKUP(C694,'Calibrated Tools Register'!B:C,2,FALSE),"NOT registered"))</f>
        <v/>
      </c>
      <c r="E694" s="3"/>
      <c r="F694" s="4"/>
      <c r="G694" s="3"/>
      <c r="H694" s="3" t="str">
        <f ca="1">IFERROR(VLOOKUP(C694,'Calibrated Tools Register'!B:M,12,FALSE)-TODAY(),"")</f>
        <v/>
      </c>
      <c r="I694" s="3" t="str">
        <f t="shared" ca="1" si="21"/>
        <v/>
      </c>
      <c r="J694" s="3"/>
      <c r="K694" s="4"/>
      <c r="L694" s="3"/>
      <c r="M694" s="4"/>
      <c r="N694" s="4"/>
      <c r="O694" s="4"/>
    </row>
    <row r="695" spans="1:15">
      <c r="A695" s="3" t="str">
        <f t="shared" si="20"/>
        <v/>
      </c>
      <c r="B695" s="5"/>
      <c r="C695" s="23"/>
      <c r="D695" s="4" t="str">
        <f>IF(C695="","",IFERROR(VLOOKUP(C695,'Calibrated Tools Register'!B:C,2,FALSE),"NOT registered"))</f>
        <v/>
      </c>
      <c r="E695" s="5"/>
      <c r="F695" s="6"/>
      <c r="G695" s="5"/>
      <c r="H695" s="5" t="str">
        <f ca="1">IFERROR(VLOOKUP(C695,'Calibrated Tools Register'!B:M,12,FALSE)-TODAY(),"")</f>
        <v/>
      </c>
      <c r="I695" s="3" t="str">
        <f t="shared" ca="1" si="21"/>
        <v/>
      </c>
      <c r="J695" s="5"/>
      <c r="K695" s="6"/>
      <c r="L695" s="5"/>
      <c r="M695" s="6"/>
      <c r="N695" s="6"/>
      <c r="O695" s="6"/>
    </row>
    <row r="696" spans="1:15">
      <c r="A696" s="3" t="str">
        <f t="shared" si="20"/>
        <v/>
      </c>
      <c r="B696" s="3"/>
      <c r="C696" s="22"/>
      <c r="D696" s="4" t="str">
        <f>IF(C696="","",IFERROR(VLOOKUP(C696,'Calibrated Tools Register'!B:C,2,FALSE),"NOT registered"))</f>
        <v/>
      </c>
      <c r="E696" s="3"/>
      <c r="F696" s="4"/>
      <c r="G696" s="3"/>
      <c r="H696" s="3" t="str">
        <f ca="1">IFERROR(VLOOKUP(C696,'Calibrated Tools Register'!B:M,12,FALSE)-TODAY(),"")</f>
        <v/>
      </c>
      <c r="I696" s="3" t="str">
        <f t="shared" ca="1" si="21"/>
        <v/>
      </c>
      <c r="J696" s="3"/>
      <c r="K696" s="4"/>
      <c r="L696" s="3"/>
      <c r="M696" s="4"/>
      <c r="N696" s="4"/>
      <c r="O696" s="4"/>
    </row>
    <row r="697" spans="1:15">
      <c r="A697" s="3" t="str">
        <f t="shared" si="20"/>
        <v/>
      </c>
      <c r="B697" s="5"/>
      <c r="C697" s="23"/>
      <c r="D697" s="4" t="str">
        <f>IF(C697="","",IFERROR(VLOOKUP(C697,'Calibrated Tools Register'!B:C,2,FALSE),"NOT registered"))</f>
        <v/>
      </c>
      <c r="E697" s="5"/>
      <c r="F697" s="6"/>
      <c r="G697" s="5"/>
      <c r="H697" s="5" t="str">
        <f ca="1">IFERROR(VLOOKUP(C697,'Calibrated Tools Register'!B:M,12,FALSE)-TODAY(),"")</f>
        <v/>
      </c>
      <c r="I697" s="3" t="str">
        <f t="shared" ca="1" si="21"/>
        <v/>
      </c>
      <c r="J697" s="5"/>
      <c r="K697" s="6"/>
      <c r="L697" s="5"/>
      <c r="M697" s="6"/>
      <c r="N697" s="6"/>
      <c r="O697" s="6"/>
    </row>
    <row r="698" spans="1:15">
      <c r="A698" s="3" t="str">
        <f t="shared" si="20"/>
        <v/>
      </c>
      <c r="B698" s="3"/>
      <c r="C698" s="22"/>
      <c r="D698" s="4" t="str">
        <f>IF(C698="","",IFERROR(VLOOKUP(C698,'Calibrated Tools Register'!B:C,2,FALSE),"NOT registered"))</f>
        <v/>
      </c>
      <c r="E698" s="3"/>
      <c r="F698" s="4"/>
      <c r="G698" s="3"/>
      <c r="H698" s="3" t="str">
        <f ca="1">IFERROR(VLOOKUP(C698,'Calibrated Tools Register'!B:M,12,FALSE)-TODAY(),"")</f>
        <v/>
      </c>
      <c r="I698" s="3" t="str">
        <f t="shared" ca="1" si="21"/>
        <v/>
      </c>
      <c r="J698" s="3"/>
      <c r="K698" s="4"/>
      <c r="L698" s="3"/>
      <c r="M698" s="4"/>
      <c r="N698" s="4"/>
      <c r="O698" s="4"/>
    </row>
    <row r="699" spans="1:15">
      <c r="A699" s="3" t="str">
        <f t="shared" si="20"/>
        <v/>
      </c>
      <c r="B699" s="5"/>
      <c r="C699" s="23"/>
      <c r="D699" s="4" t="str">
        <f>IF(C699="","",IFERROR(VLOOKUP(C699,'Calibrated Tools Register'!B:C,2,FALSE),"NOT registered"))</f>
        <v/>
      </c>
      <c r="E699" s="5"/>
      <c r="F699" s="6"/>
      <c r="G699" s="5"/>
      <c r="H699" s="5" t="str">
        <f ca="1">IFERROR(VLOOKUP(C699,'Calibrated Tools Register'!B:M,12,FALSE)-TODAY(),"")</f>
        <v/>
      </c>
      <c r="I699" s="3" t="str">
        <f t="shared" ca="1" si="21"/>
        <v/>
      </c>
      <c r="J699" s="5"/>
      <c r="K699" s="6"/>
      <c r="L699" s="5"/>
      <c r="M699" s="6"/>
      <c r="N699" s="6"/>
      <c r="O699" s="6"/>
    </row>
    <row r="700" spans="1:15">
      <c r="A700" s="3" t="str">
        <f t="shared" si="20"/>
        <v/>
      </c>
      <c r="B700" s="3"/>
      <c r="C700" s="22"/>
      <c r="D700" s="4" t="str">
        <f>IF(C700="","",IFERROR(VLOOKUP(C700,'Calibrated Tools Register'!B:C,2,FALSE),"NOT registered"))</f>
        <v/>
      </c>
      <c r="E700" s="3"/>
      <c r="F700" s="4"/>
      <c r="G700" s="3"/>
      <c r="H700" s="3" t="str">
        <f ca="1">IFERROR(VLOOKUP(C700,'Calibrated Tools Register'!B:M,12,FALSE)-TODAY(),"")</f>
        <v/>
      </c>
      <c r="I700" s="3" t="str">
        <f t="shared" ca="1" si="21"/>
        <v/>
      </c>
      <c r="J700" s="3"/>
      <c r="K700" s="4"/>
      <c r="L700" s="3"/>
      <c r="M700" s="4"/>
      <c r="N700" s="4"/>
      <c r="O700" s="4"/>
    </row>
    <row r="701" spans="1:15">
      <c r="A701" s="3" t="str">
        <f t="shared" si="20"/>
        <v/>
      </c>
      <c r="B701" s="5"/>
      <c r="C701" s="23"/>
      <c r="D701" s="4" t="str">
        <f>IF(C701="","",IFERROR(VLOOKUP(C701,'Calibrated Tools Register'!B:C,2,FALSE),"NOT registered"))</f>
        <v/>
      </c>
      <c r="E701" s="5"/>
      <c r="F701" s="6"/>
      <c r="G701" s="5"/>
      <c r="H701" s="5" t="str">
        <f ca="1">IFERROR(VLOOKUP(C701,'Calibrated Tools Register'!B:M,12,FALSE)-TODAY(),"")</f>
        <v/>
      </c>
      <c r="I701" s="3" t="str">
        <f t="shared" ca="1" si="21"/>
        <v/>
      </c>
      <c r="J701" s="5"/>
      <c r="K701" s="6"/>
      <c r="L701" s="5"/>
      <c r="M701" s="6"/>
      <c r="N701" s="6"/>
      <c r="O701" s="6"/>
    </row>
    <row r="702" spans="1:15">
      <c r="A702" s="3" t="str">
        <f t="shared" si="20"/>
        <v/>
      </c>
      <c r="B702" s="3"/>
      <c r="C702" s="22"/>
      <c r="D702" s="4" t="str">
        <f>IF(C702="","",IFERROR(VLOOKUP(C702,'Calibrated Tools Register'!B:C,2,FALSE),"NOT registered"))</f>
        <v/>
      </c>
      <c r="E702" s="3"/>
      <c r="F702" s="4"/>
      <c r="G702" s="3"/>
      <c r="H702" s="3" t="str">
        <f ca="1">IFERROR(VLOOKUP(C702,'Calibrated Tools Register'!B:M,12,FALSE)-TODAY(),"")</f>
        <v/>
      </c>
      <c r="I702" s="3" t="str">
        <f t="shared" ca="1" si="21"/>
        <v/>
      </c>
      <c r="J702" s="3"/>
      <c r="K702" s="4"/>
      <c r="L702" s="3"/>
      <c r="M702" s="4"/>
      <c r="N702" s="4"/>
      <c r="O702" s="4"/>
    </row>
    <row r="703" spans="1:15">
      <c r="A703" s="3" t="str">
        <f t="shared" si="20"/>
        <v/>
      </c>
      <c r="B703" s="5"/>
      <c r="C703" s="23"/>
      <c r="D703" s="4" t="str">
        <f>IF(C703="","",IFERROR(VLOOKUP(C703,'Calibrated Tools Register'!B:C,2,FALSE),"NOT registered"))</f>
        <v/>
      </c>
      <c r="E703" s="5"/>
      <c r="F703" s="6"/>
      <c r="G703" s="5"/>
      <c r="H703" s="5" t="str">
        <f ca="1">IFERROR(VLOOKUP(C703,'Calibrated Tools Register'!B:M,12,FALSE)-TODAY(),"")</f>
        <v/>
      </c>
      <c r="I703" s="3" t="str">
        <f t="shared" ca="1" si="21"/>
        <v/>
      </c>
      <c r="J703" s="5"/>
      <c r="K703" s="6"/>
      <c r="L703" s="5"/>
      <c r="M703" s="6"/>
      <c r="N703" s="6"/>
      <c r="O703" s="6"/>
    </row>
    <row r="704" spans="1:15">
      <c r="A704" s="3" t="str">
        <f t="shared" si="20"/>
        <v/>
      </c>
      <c r="B704" s="3"/>
      <c r="C704" s="22"/>
      <c r="D704" s="4" t="str">
        <f>IF(C704="","",IFERROR(VLOOKUP(C704,'Calibrated Tools Register'!B:C,2,FALSE),"NOT registered"))</f>
        <v/>
      </c>
      <c r="E704" s="3"/>
      <c r="F704" s="4"/>
      <c r="G704" s="3"/>
      <c r="H704" s="3" t="str">
        <f ca="1">IFERROR(VLOOKUP(C704,'Calibrated Tools Register'!B:M,12,FALSE)-TODAY(),"")</f>
        <v/>
      </c>
      <c r="I704" s="3" t="str">
        <f t="shared" ca="1" si="21"/>
        <v/>
      </c>
      <c r="J704" s="3"/>
      <c r="K704" s="4"/>
      <c r="L704" s="3"/>
      <c r="M704" s="4"/>
      <c r="N704" s="4"/>
      <c r="O704" s="4"/>
    </row>
    <row r="705" spans="1:15">
      <c r="A705" s="3" t="str">
        <f t="shared" si="20"/>
        <v/>
      </c>
      <c r="B705" s="5"/>
      <c r="C705" s="23"/>
      <c r="D705" s="4" t="str">
        <f>IF(C705="","",IFERROR(VLOOKUP(C705,'Calibrated Tools Register'!B:C,2,FALSE),"NOT registered"))</f>
        <v/>
      </c>
      <c r="E705" s="5"/>
      <c r="F705" s="6"/>
      <c r="G705" s="5"/>
      <c r="H705" s="5" t="str">
        <f ca="1">IFERROR(VLOOKUP(C705,'Calibrated Tools Register'!B:M,12,FALSE)-TODAY(),"")</f>
        <v/>
      </c>
      <c r="I705" s="3" t="str">
        <f t="shared" ca="1" si="21"/>
        <v/>
      </c>
      <c r="J705" s="5"/>
      <c r="K705" s="6"/>
      <c r="L705" s="5"/>
      <c r="M705" s="6"/>
      <c r="N705" s="6"/>
      <c r="O705" s="6"/>
    </row>
    <row r="706" spans="1:15">
      <c r="A706" s="3" t="str">
        <f t="shared" si="20"/>
        <v/>
      </c>
      <c r="B706" s="3"/>
      <c r="C706" s="22"/>
      <c r="D706" s="4" t="str">
        <f>IF(C706="","",IFERROR(VLOOKUP(C706,'Calibrated Tools Register'!B:C,2,FALSE),"NOT registered"))</f>
        <v/>
      </c>
      <c r="E706" s="3"/>
      <c r="F706" s="4"/>
      <c r="G706" s="3"/>
      <c r="H706" s="3" t="str">
        <f ca="1">IFERROR(VLOOKUP(C706,'Calibrated Tools Register'!B:M,12,FALSE)-TODAY(),"")</f>
        <v/>
      </c>
      <c r="I706" s="3" t="str">
        <f t="shared" ca="1" si="21"/>
        <v/>
      </c>
      <c r="J706" s="3"/>
      <c r="K706" s="4"/>
      <c r="L706" s="3"/>
      <c r="M706" s="4"/>
      <c r="N706" s="4"/>
      <c r="O706" s="4"/>
    </row>
    <row r="707" spans="1:15">
      <c r="A707" s="3" t="str">
        <f t="shared" si="20"/>
        <v/>
      </c>
      <c r="B707" s="5"/>
      <c r="C707" s="23"/>
      <c r="D707" s="4" t="str">
        <f>IF(C707="","",IFERROR(VLOOKUP(C707,'Calibrated Tools Register'!B:C,2,FALSE),"NOT registered"))</f>
        <v/>
      </c>
      <c r="E707" s="5"/>
      <c r="F707" s="6"/>
      <c r="G707" s="5"/>
      <c r="H707" s="5" t="str">
        <f ca="1">IFERROR(VLOOKUP(C707,'Calibrated Tools Register'!B:M,12,FALSE)-TODAY(),"")</f>
        <v/>
      </c>
      <c r="I707" s="3" t="str">
        <f t="shared" ca="1" si="21"/>
        <v/>
      </c>
      <c r="J707" s="5"/>
      <c r="K707" s="6"/>
      <c r="L707" s="5"/>
      <c r="M707" s="6"/>
      <c r="N707" s="6"/>
      <c r="O707" s="6"/>
    </row>
    <row r="708" spans="1:15">
      <c r="A708" s="3" t="str">
        <f t="shared" ref="A708:A771" si="22">IF(C708="","",ROW(C708)-3)</f>
        <v/>
      </c>
      <c r="B708" s="3"/>
      <c r="C708" s="22"/>
      <c r="D708" s="4" t="str">
        <f>IF(C708="","",IFERROR(VLOOKUP(C708,'Calibrated Tools Register'!B:C,2,FALSE),"NOT registered"))</f>
        <v/>
      </c>
      <c r="E708" s="3"/>
      <c r="F708" s="4"/>
      <c r="G708" s="3"/>
      <c r="H708" s="3" t="str">
        <f ca="1">IFERROR(VLOOKUP(C708,'Calibrated Tools Register'!B:M,12,FALSE)-TODAY(),"")</f>
        <v/>
      </c>
      <c r="I708" s="3" t="str">
        <f t="shared" ca="1" si="21"/>
        <v/>
      </c>
      <c r="J708" s="3"/>
      <c r="K708" s="4"/>
      <c r="L708" s="3"/>
      <c r="M708" s="4"/>
      <c r="N708" s="4"/>
      <c r="O708" s="4"/>
    </row>
    <row r="709" spans="1:15">
      <c r="A709" s="3" t="str">
        <f t="shared" si="22"/>
        <v/>
      </c>
      <c r="B709" s="5"/>
      <c r="C709" s="23"/>
      <c r="D709" s="4" t="str">
        <f>IF(C709="","",IFERROR(VLOOKUP(C709,'Calibrated Tools Register'!B:C,2,FALSE),"NOT registered"))</f>
        <v/>
      </c>
      <c r="E709" s="5"/>
      <c r="F709" s="6"/>
      <c r="G709" s="5"/>
      <c r="H709" s="5" t="str">
        <f ca="1">IFERROR(VLOOKUP(C709,'Calibrated Tools Register'!B:M,12,FALSE)-TODAY(),"")</f>
        <v/>
      </c>
      <c r="I709" s="3" t="str">
        <f t="shared" ref="I709:I772" ca="1" si="23">IF(H709="","",IF(H709&lt;=0,"Urgent",IF(H709&lt;=30,"High",IF(H709&lt;=45,"Medium","Low"))))</f>
        <v/>
      </c>
      <c r="J709" s="5"/>
      <c r="K709" s="6"/>
      <c r="L709" s="5"/>
      <c r="M709" s="6"/>
      <c r="N709" s="6"/>
      <c r="O709" s="6"/>
    </row>
    <row r="710" spans="1:15">
      <c r="A710" s="3" t="str">
        <f t="shared" si="22"/>
        <v/>
      </c>
      <c r="B710" s="3"/>
      <c r="C710" s="22"/>
      <c r="D710" s="4" t="str">
        <f>IF(C710="","",IFERROR(VLOOKUP(C710,'Calibrated Tools Register'!B:C,2,FALSE),"NOT registered"))</f>
        <v/>
      </c>
      <c r="E710" s="3"/>
      <c r="F710" s="4"/>
      <c r="G710" s="3"/>
      <c r="H710" s="3" t="str">
        <f ca="1">IFERROR(VLOOKUP(C710,'Calibrated Tools Register'!B:M,12,FALSE)-TODAY(),"")</f>
        <v/>
      </c>
      <c r="I710" s="3" t="str">
        <f t="shared" ca="1" si="23"/>
        <v/>
      </c>
      <c r="J710" s="3"/>
      <c r="K710" s="4"/>
      <c r="L710" s="3"/>
      <c r="M710" s="4"/>
      <c r="N710" s="4"/>
      <c r="O710" s="4"/>
    </row>
    <row r="711" spans="1:15">
      <c r="A711" s="3" t="str">
        <f t="shared" si="22"/>
        <v/>
      </c>
      <c r="B711" s="5"/>
      <c r="C711" s="23"/>
      <c r="D711" s="4" t="str">
        <f>IF(C711="","",IFERROR(VLOOKUP(C711,'Calibrated Tools Register'!B:C,2,FALSE),"NOT registered"))</f>
        <v/>
      </c>
      <c r="E711" s="5"/>
      <c r="F711" s="6"/>
      <c r="G711" s="5"/>
      <c r="H711" s="5" t="str">
        <f ca="1">IFERROR(VLOOKUP(C711,'Calibrated Tools Register'!B:M,12,FALSE)-TODAY(),"")</f>
        <v/>
      </c>
      <c r="I711" s="3" t="str">
        <f t="shared" ca="1" si="23"/>
        <v/>
      </c>
      <c r="J711" s="5"/>
      <c r="K711" s="6"/>
      <c r="L711" s="5"/>
      <c r="M711" s="6"/>
      <c r="N711" s="6"/>
      <c r="O711" s="6"/>
    </row>
    <row r="712" spans="1:15">
      <c r="A712" s="3" t="str">
        <f t="shared" si="22"/>
        <v/>
      </c>
      <c r="B712" s="3"/>
      <c r="C712" s="22"/>
      <c r="D712" s="4" t="str">
        <f>IF(C712="","",IFERROR(VLOOKUP(C712,'Calibrated Tools Register'!B:C,2,FALSE),"NOT registered"))</f>
        <v/>
      </c>
      <c r="E712" s="3"/>
      <c r="F712" s="4"/>
      <c r="G712" s="3"/>
      <c r="H712" s="3" t="str">
        <f ca="1">IFERROR(VLOOKUP(C712,'Calibrated Tools Register'!B:M,12,FALSE)-TODAY(),"")</f>
        <v/>
      </c>
      <c r="I712" s="3" t="str">
        <f t="shared" ca="1" si="23"/>
        <v/>
      </c>
      <c r="J712" s="3"/>
      <c r="K712" s="4"/>
      <c r="L712" s="3"/>
      <c r="M712" s="4"/>
      <c r="N712" s="4"/>
      <c r="O712" s="4"/>
    </row>
    <row r="713" spans="1:15">
      <c r="A713" s="3" t="str">
        <f t="shared" si="22"/>
        <v/>
      </c>
      <c r="B713" s="5"/>
      <c r="C713" s="23"/>
      <c r="D713" s="4" t="str">
        <f>IF(C713="","",IFERROR(VLOOKUP(C713,'Calibrated Tools Register'!B:C,2,FALSE),"NOT registered"))</f>
        <v/>
      </c>
      <c r="E713" s="5"/>
      <c r="F713" s="6"/>
      <c r="G713" s="5"/>
      <c r="H713" s="5" t="str">
        <f ca="1">IFERROR(VLOOKUP(C713,'Calibrated Tools Register'!B:M,12,FALSE)-TODAY(),"")</f>
        <v/>
      </c>
      <c r="I713" s="3" t="str">
        <f t="shared" ca="1" si="23"/>
        <v/>
      </c>
      <c r="J713" s="5"/>
      <c r="K713" s="6"/>
      <c r="L713" s="5"/>
      <c r="M713" s="6"/>
      <c r="N713" s="6"/>
      <c r="O713" s="6"/>
    </row>
    <row r="714" spans="1:15">
      <c r="A714" s="3" t="str">
        <f t="shared" si="22"/>
        <v/>
      </c>
      <c r="B714" s="3"/>
      <c r="C714" s="22"/>
      <c r="D714" s="4" t="str">
        <f>IF(C714="","",IFERROR(VLOOKUP(C714,'Calibrated Tools Register'!B:C,2,FALSE),"NOT registered"))</f>
        <v/>
      </c>
      <c r="E714" s="3"/>
      <c r="F714" s="4"/>
      <c r="G714" s="3"/>
      <c r="H714" s="3" t="str">
        <f ca="1">IFERROR(VLOOKUP(C714,'Calibrated Tools Register'!B:M,12,FALSE)-TODAY(),"")</f>
        <v/>
      </c>
      <c r="I714" s="3" t="str">
        <f t="shared" ca="1" si="23"/>
        <v/>
      </c>
      <c r="J714" s="3"/>
      <c r="K714" s="4"/>
      <c r="L714" s="3"/>
      <c r="M714" s="4"/>
      <c r="N714" s="4"/>
      <c r="O714" s="4"/>
    </row>
    <row r="715" spans="1:15">
      <c r="A715" s="3" t="str">
        <f t="shared" si="22"/>
        <v/>
      </c>
      <c r="B715" s="5"/>
      <c r="C715" s="23"/>
      <c r="D715" s="4" t="str">
        <f>IF(C715="","",IFERROR(VLOOKUP(C715,'Calibrated Tools Register'!B:C,2,FALSE),"NOT registered"))</f>
        <v/>
      </c>
      <c r="E715" s="5"/>
      <c r="F715" s="6"/>
      <c r="G715" s="5"/>
      <c r="H715" s="5" t="str">
        <f ca="1">IFERROR(VLOOKUP(C715,'Calibrated Tools Register'!B:M,12,FALSE)-TODAY(),"")</f>
        <v/>
      </c>
      <c r="I715" s="3" t="str">
        <f t="shared" ca="1" si="23"/>
        <v/>
      </c>
      <c r="J715" s="5"/>
      <c r="K715" s="6"/>
      <c r="L715" s="5"/>
      <c r="M715" s="6"/>
      <c r="N715" s="6"/>
      <c r="O715" s="6"/>
    </row>
    <row r="716" spans="1:15">
      <c r="A716" s="3" t="str">
        <f t="shared" si="22"/>
        <v/>
      </c>
      <c r="B716" s="3"/>
      <c r="C716" s="22"/>
      <c r="D716" s="4" t="str">
        <f>IF(C716="","",IFERROR(VLOOKUP(C716,'Calibrated Tools Register'!B:C,2,FALSE),"NOT registered"))</f>
        <v/>
      </c>
      <c r="E716" s="3"/>
      <c r="F716" s="4"/>
      <c r="G716" s="3"/>
      <c r="H716" s="3" t="str">
        <f ca="1">IFERROR(VLOOKUP(C716,'Calibrated Tools Register'!B:M,12,FALSE)-TODAY(),"")</f>
        <v/>
      </c>
      <c r="I716" s="3" t="str">
        <f t="shared" ca="1" si="23"/>
        <v/>
      </c>
      <c r="J716" s="3"/>
      <c r="K716" s="4"/>
      <c r="L716" s="3"/>
      <c r="M716" s="4"/>
      <c r="N716" s="4"/>
      <c r="O716" s="4"/>
    </row>
    <row r="717" spans="1:15">
      <c r="A717" s="3" t="str">
        <f t="shared" si="22"/>
        <v/>
      </c>
      <c r="B717" s="5"/>
      <c r="C717" s="23"/>
      <c r="D717" s="4" t="str">
        <f>IF(C717="","",IFERROR(VLOOKUP(C717,'Calibrated Tools Register'!B:C,2,FALSE),"NOT registered"))</f>
        <v/>
      </c>
      <c r="E717" s="5"/>
      <c r="F717" s="6"/>
      <c r="G717" s="5"/>
      <c r="H717" s="5" t="str">
        <f ca="1">IFERROR(VLOOKUP(C717,'Calibrated Tools Register'!B:M,12,FALSE)-TODAY(),"")</f>
        <v/>
      </c>
      <c r="I717" s="3" t="str">
        <f t="shared" ca="1" si="23"/>
        <v/>
      </c>
      <c r="J717" s="5"/>
      <c r="K717" s="6"/>
      <c r="L717" s="5"/>
      <c r="M717" s="6"/>
      <c r="N717" s="6"/>
      <c r="O717" s="6"/>
    </row>
    <row r="718" spans="1:15">
      <c r="A718" s="3" t="str">
        <f t="shared" si="22"/>
        <v/>
      </c>
      <c r="B718" s="3"/>
      <c r="C718" s="22"/>
      <c r="D718" s="4" t="str">
        <f>IF(C718="","",IFERROR(VLOOKUP(C718,'Calibrated Tools Register'!B:C,2,FALSE),"NOT registered"))</f>
        <v/>
      </c>
      <c r="E718" s="3"/>
      <c r="F718" s="4"/>
      <c r="G718" s="3"/>
      <c r="H718" s="3" t="str">
        <f ca="1">IFERROR(VLOOKUP(C718,'Calibrated Tools Register'!B:M,12,FALSE)-TODAY(),"")</f>
        <v/>
      </c>
      <c r="I718" s="3" t="str">
        <f t="shared" ca="1" si="23"/>
        <v/>
      </c>
      <c r="J718" s="3"/>
      <c r="K718" s="4"/>
      <c r="L718" s="3"/>
      <c r="M718" s="4"/>
      <c r="N718" s="4"/>
      <c r="O718" s="4"/>
    </row>
    <row r="719" spans="1:15">
      <c r="A719" s="3" t="str">
        <f t="shared" si="22"/>
        <v/>
      </c>
      <c r="B719" s="5"/>
      <c r="C719" s="23"/>
      <c r="D719" s="4" t="str">
        <f>IF(C719="","",IFERROR(VLOOKUP(C719,'Calibrated Tools Register'!B:C,2,FALSE),"NOT registered"))</f>
        <v/>
      </c>
      <c r="E719" s="5"/>
      <c r="F719" s="6"/>
      <c r="G719" s="5"/>
      <c r="H719" s="5" t="str">
        <f ca="1">IFERROR(VLOOKUP(C719,'Calibrated Tools Register'!B:M,12,FALSE)-TODAY(),"")</f>
        <v/>
      </c>
      <c r="I719" s="3" t="str">
        <f t="shared" ca="1" si="23"/>
        <v/>
      </c>
      <c r="J719" s="5"/>
      <c r="K719" s="6"/>
      <c r="L719" s="5"/>
      <c r="M719" s="6"/>
      <c r="N719" s="6"/>
      <c r="O719" s="6"/>
    </row>
    <row r="720" spans="1:15">
      <c r="A720" s="3" t="str">
        <f t="shared" si="22"/>
        <v/>
      </c>
      <c r="B720" s="3"/>
      <c r="C720" s="22"/>
      <c r="D720" s="4" t="str">
        <f>IF(C720="","",IFERROR(VLOOKUP(C720,'Calibrated Tools Register'!B:C,2,FALSE),"NOT registered"))</f>
        <v/>
      </c>
      <c r="E720" s="3"/>
      <c r="F720" s="4"/>
      <c r="G720" s="3"/>
      <c r="H720" s="3" t="str">
        <f ca="1">IFERROR(VLOOKUP(C720,'Calibrated Tools Register'!B:M,12,FALSE)-TODAY(),"")</f>
        <v/>
      </c>
      <c r="I720" s="3" t="str">
        <f t="shared" ca="1" si="23"/>
        <v/>
      </c>
      <c r="J720" s="3"/>
      <c r="K720" s="4"/>
      <c r="L720" s="3"/>
      <c r="M720" s="4"/>
      <c r="N720" s="4"/>
      <c r="O720" s="4"/>
    </row>
    <row r="721" spans="1:15">
      <c r="A721" s="3" t="str">
        <f t="shared" si="22"/>
        <v/>
      </c>
      <c r="B721" s="5"/>
      <c r="C721" s="23"/>
      <c r="D721" s="4" t="str">
        <f>IF(C721="","",IFERROR(VLOOKUP(C721,'Calibrated Tools Register'!B:C,2,FALSE),"NOT registered"))</f>
        <v/>
      </c>
      <c r="E721" s="5"/>
      <c r="F721" s="6"/>
      <c r="G721" s="5"/>
      <c r="H721" s="5" t="str">
        <f ca="1">IFERROR(VLOOKUP(C721,'Calibrated Tools Register'!B:M,12,FALSE)-TODAY(),"")</f>
        <v/>
      </c>
      <c r="I721" s="3" t="str">
        <f t="shared" ca="1" si="23"/>
        <v/>
      </c>
      <c r="J721" s="5"/>
      <c r="K721" s="6"/>
      <c r="L721" s="5"/>
      <c r="M721" s="6"/>
      <c r="N721" s="6"/>
      <c r="O721" s="6"/>
    </row>
    <row r="722" spans="1:15">
      <c r="A722" s="3" t="str">
        <f t="shared" si="22"/>
        <v/>
      </c>
      <c r="B722" s="3"/>
      <c r="C722" s="22"/>
      <c r="D722" s="4" t="str">
        <f>IF(C722="","",IFERROR(VLOOKUP(C722,'Calibrated Tools Register'!B:C,2,FALSE),"NOT registered"))</f>
        <v/>
      </c>
      <c r="E722" s="3"/>
      <c r="F722" s="4"/>
      <c r="G722" s="3"/>
      <c r="H722" s="3" t="str">
        <f ca="1">IFERROR(VLOOKUP(C722,'Calibrated Tools Register'!B:M,12,FALSE)-TODAY(),"")</f>
        <v/>
      </c>
      <c r="I722" s="3" t="str">
        <f t="shared" ca="1" si="23"/>
        <v/>
      </c>
      <c r="J722" s="3"/>
      <c r="K722" s="4"/>
      <c r="L722" s="3"/>
      <c r="M722" s="4"/>
      <c r="N722" s="4"/>
      <c r="O722" s="4"/>
    </row>
    <row r="723" spans="1:15">
      <c r="A723" s="3" t="str">
        <f t="shared" si="22"/>
        <v/>
      </c>
      <c r="B723" s="5"/>
      <c r="C723" s="23"/>
      <c r="D723" s="4" t="str">
        <f>IF(C723="","",IFERROR(VLOOKUP(C723,'Calibrated Tools Register'!B:C,2,FALSE),"NOT registered"))</f>
        <v/>
      </c>
      <c r="E723" s="5"/>
      <c r="F723" s="6"/>
      <c r="G723" s="5"/>
      <c r="H723" s="5" t="str">
        <f ca="1">IFERROR(VLOOKUP(C723,'Calibrated Tools Register'!B:M,12,FALSE)-TODAY(),"")</f>
        <v/>
      </c>
      <c r="I723" s="3" t="str">
        <f t="shared" ca="1" si="23"/>
        <v/>
      </c>
      <c r="J723" s="5"/>
      <c r="K723" s="6"/>
      <c r="L723" s="5"/>
      <c r="M723" s="6"/>
      <c r="N723" s="6"/>
      <c r="O723" s="6"/>
    </row>
    <row r="724" spans="1:15">
      <c r="A724" s="3" t="str">
        <f t="shared" si="22"/>
        <v/>
      </c>
      <c r="B724" s="3"/>
      <c r="C724" s="22"/>
      <c r="D724" s="4" t="str">
        <f>IF(C724="","",IFERROR(VLOOKUP(C724,'Calibrated Tools Register'!B:C,2,FALSE),"NOT registered"))</f>
        <v/>
      </c>
      <c r="E724" s="3"/>
      <c r="F724" s="4"/>
      <c r="G724" s="3"/>
      <c r="H724" s="3" t="str">
        <f ca="1">IFERROR(VLOOKUP(C724,'Calibrated Tools Register'!B:M,12,FALSE)-TODAY(),"")</f>
        <v/>
      </c>
      <c r="I724" s="3" t="str">
        <f t="shared" ca="1" si="23"/>
        <v/>
      </c>
      <c r="J724" s="3"/>
      <c r="K724" s="4"/>
      <c r="L724" s="3"/>
      <c r="M724" s="4"/>
      <c r="N724" s="4"/>
      <c r="O724" s="4"/>
    </row>
    <row r="725" spans="1:15">
      <c r="A725" s="3" t="str">
        <f t="shared" si="22"/>
        <v/>
      </c>
      <c r="B725" s="5"/>
      <c r="C725" s="23"/>
      <c r="D725" s="4" t="str">
        <f>IF(C725="","",IFERROR(VLOOKUP(C725,'Calibrated Tools Register'!B:C,2,FALSE),"NOT registered"))</f>
        <v/>
      </c>
      <c r="E725" s="5"/>
      <c r="F725" s="6"/>
      <c r="G725" s="5"/>
      <c r="H725" s="5" t="str">
        <f ca="1">IFERROR(VLOOKUP(C725,'Calibrated Tools Register'!B:M,12,FALSE)-TODAY(),"")</f>
        <v/>
      </c>
      <c r="I725" s="3" t="str">
        <f t="shared" ca="1" si="23"/>
        <v/>
      </c>
      <c r="J725" s="5"/>
      <c r="K725" s="6"/>
      <c r="L725" s="5"/>
      <c r="M725" s="6"/>
      <c r="N725" s="6"/>
      <c r="O725" s="6"/>
    </row>
    <row r="726" spans="1:15">
      <c r="A726" s="3" t="str">
        <f t="shared" si="22"/>
        <v/>
      </c>
      <c r="B726" s="3"/>
      <c r="C726" s="22"/>
      <c r="D726" s="4" t="str">
        <f>IF(C726="","",IFERROR(VLOOKUP(C726,'Calibrated Tools Register'!B:C,2,FALSE),"NOT registered"))</f>
        <v/>
      </c>
      <c r="E726" s="3"/>
      <c r="F726" s="4"/>
      <c r="G726" s="3"/>
      <c r="H726" s="3" t="str">
        <f ca="1">IFERROR(VLOOKUP(C726,'Calibrated Tools Register'!B:M,12,FALSE)-TODAY(),"")</f>
        <v/>
      </c>
      <c r="I726" s="3" t="str">
        <f t="shared" ca="1" si="23"/>
        <v/>
      </c>
      <c r="J726" s="3"/>
      <c r="K726" s="4"/>
      <c r="L726" s="3"/>
      <c r="M726" s="4"/>
      <c r="N726" s="4"/>
      <c r="O726" s="4"/>
    </row>
    <row r="727" spans="1:15">
      <c r="A727" s="3" t="str">
        <f t="shared" si="22"/>
        <v/>
      </c>
      <c r="B727" s="5"/>
      <c r="C727" s="23"/>
      <c r="D727" s="4" t="str">
        <f>IF(C727="","",IFERROR(VLOOKUP(C727,'Calibrated Tools Register'!B:C,2,FALSE),"NOT registered"))</f>
        <v/>
      </c>
      <c r="E727" s="5"/>
      <c r="F727" s="6"/>
      <c r="G727" s="5"/>
      <c r="H727" s="5" t="str">
        <f ca="1">IFERROR(VLOOKUP(C727,'Calibrated Tools Register'!B:M,12,FALSE)-TODAY(),"")</f>
        <v/>
      </c>
      <c r="I727" s="3" t="str">
        <f t="shared" ca="1" si="23"/>
        <v/>
      </c>
      <c r="J727" s="5"/>
      <c r="K727" s="6"/>
      <c r="L727" s="5"/>
      <c r="M727" s="6"/>
      <c r="N727" s="6"/>
      <c r="O727" s="6"/>
    </row>
    <row r="728" spans="1:15">
      <c r="A728" s="3" t="str">
        <f t="shared" si="22"/>
        <v/>
      </c>
      <c r="B728" s="3"/>
      <c r="C728" s="22"/>
      <c r="D728" s="4" t="str">
        <f>IF(C728="","",IFERROR(VLOOKUP(C728,'Calibrated Tools Register'!B:C,2,FALSE),"NOT registered"))</f>
        <v/>
      </c>
      <c r="E728" s="3"/>
      <c r="F728" s="4"/>
      <c r="G728" s="3"/>
      <c r="H728" s="3" t="str">
        <f ca="1">IFERROR(VLOOKUP(C728,'Calibrated Tools Register'!B:M,12,FALSE)-TODAY(),"")</f>
        <v/>
      </c>
      <c r="I728" s="3" t="str">
        <f t="shared" ca="1" si="23"/>
        <v/>
      </c>
      <c r="J728" s="3"/>
      <c r="K728" s="4"/>
      <c r="L728" s="3"/>
      <c r="M728" s="4"/>
      <c r="N728" s="4"/>
      <c r="O728" s="4"/>
    </row>
    <row r="729" spans="1:15">
      <c r="A729" s="3" t="str">
        <f t="shared" si="22"/>
        <v/>
      </c>
      <c r="B729" s="5"/>
      <c r="C729" s="23"/>
      <c r="D729" s="4" t="str">
        <f>IF(C729="","",IFERROR(VLOOKUP(C729,'Calibrated Tools Register'!B:C,2,FALSE),"NOT registered"))</f>
        <v/>
      </c>
      <c r="E729" s="5"/>
      <c r="F729" s="6"/>
      <c r="G729" s="5"/>
      <c r="H729" s="5" t="str">
        <f ca="1">IFERROR(VLOOKUP(C729,'Calibrated Tools Register'!B:M,12,FALSE)-TODAY(),"")</f>
        <v/>
      </c>
      <c r="I729" s="3" t="str">
        <f t="shared" ca="1" si="23"/>
        <v/>
      </c>
      <c r="J729" s="5"/>
      <c r="K729" s="6"/>
      <c r="L729" s="5"/>
      <c r="M729" s="6"/>
      <c r="N729" s="6"/>
      <c r="O729" s="6"/>
    </row>
    <row r="730" spans="1:15">
      <c r="A730" s="3" t="str">
        <f t="shared" si="22"/>
        <v/>
      </c>
      <c r="B730" s="3"/>
      <c r="C730" s="22"/>
      <c r="D730" s="4" t="str">
        <f>IF(C730="","",IFERROR(VLOOKUP(C730,'Calibrated Tools Register'!B:C,2,FALSE),"NOT registered"))</f>
        <v/>
      </c>
      <c r="E730" s="3"/>
      <c r="F730" s="4"/>
      <c r="G730" s="3"/>
      <c r="H730" s="3" t="str">
        <f ca="1">IFERROR(VLOOKUP(C730,'Calibrated Tools Register'!B:M,12,FALSE)-TODAY(),"")</f>
        <v/>
      </c>
      <c r="I730" s="3" t="str">
        <f t="shared" ca="1" si="23"/>
        <v/>
      </c>
      <c r="J730" s="3"/>
      <c r="K730" s="4"/>
      <c r="L730" s="3"/>
      <c r="M730" s="4"/>
      <c r="N730" s="4"/>
      <c r="O730" s="4"/>
    </row>
    <row r="731" spans="1:15">
      <c r="A731" s="3" t="str">
        <f t="shared" si="22"/>
        <v/>
      </c>
      <c r="B731" s="5"/>
      <c r="C731" s="23"/>
      <c r="D731" s="4" t="str">
        <f>IF(C731="","",IFERROR(VLOOKUP(C731,'Calibrated Tools Register'!B:C,2,FALSE),"NOT registered"))</f>
        <v/>
      </c>
      <c r="E731" s="5"/>
      <c r="F731" s="6"/>
      <c r="G731" s="5"/>
      <c r="H731" s="5" t="str">
        <f ca="1">IFERROR(VLOOKUP(C731,'Calibrated Tools Register'!B:M,12,FALSE)-TODAY(),"")</f>
        <v/>
      </c>
      <c r="I731" s="3" t="str">
        <f t="shared" ca="1" si="23"/>
        <v/>
      </c>
      <c r="J731" s="5"/>
      <c r="K731" s="6"/>
      <c r="L731" s="5"/>
      <c r="M731" s="6"/>
      <c r="N731" s="6"/>
      <c r="O731" s="6"/>
    </row>
    <row r="732" spans="1:15">
      <c r="A732" s="3" t="str">
        <f t="shared" si="22"/>
        <v/>
      </c>
      <c r="B732" s="3"/>
      <c r="C732" s="22"/>
      <c r="D732" s="4" t="str">
        <f>IF(C732="","",IFERROR(VLOOKUP(C732,'Calibrated Tools Register'!B:C,2,FALSE),"NOT registered"))</f>
        <v/>
      </c>
      <c r="E732" s="3"/>
      <c r="F732" s="4"/>
      <c r="G732" s="3"/>
      <c r="H732" s="3" t="str">
        <f ca="1">IFERROR(VLOOKUP(C732,'Calibrated Tools Register'!B:M,12,FALSE)-TODAY(),"")</f>
        <v/>
      </c>
      <c r="I732" s="3" t="str">
        <f t="shared" ca="1" si="23"/>
        <v/>
      </c>
      <c r="J732" s="3"/>
      <c r="K732" s="4"/>
      <c r="L732" s="3"/>
      <c r="M732" s="4"/>
      <c r="N732" s="4"/>
      <c r="O732" s="4"/>
    </row>
    <row r="733" spans="1:15">
      <c r="A733" s="3" t="str">
        <f t="shared" si="22"/>
        <v/>
      </c>
      <c r="B733" s="5"/>
      <c r="C733" s="23"/>
      <c r="D733" s="4" t="str">
        <f>IF(C733="","",IFERROR(VLOOKUP(C733,'Calibrated Tools Register'!B:C,2,FALSE),"NOT registered"))</f>
        <v/>
      </c>
      <c r="E733" s="5"/>
      <c r="F733" s="6"/>
      <c r="G733" s="5"/>
      <c r="H733" s="5" t="str">
        <f ca="1">IFERROR(VLOOKUP(C733,'Calibrated Tools Register'!B:M,12,FALSE)-TODAY(),"")</f>
        <v/>
      </c>
      <c r="I733" s="3" t="str">
        <f t="shared" ca="1" si="23"/>
        <v/>
      </c>
      <c r="J733" s="5"/>
      <c r="K733" s="6"/>
      <c r="L733" s="5"/>
      <c r="M733" s="6"/>
      <c r="N733" s="6"/>
      <c r="O733" s="6"/>
    </row>
    <row r="734" spans="1:15">
      <c r="A734" s="3" t="str">
        <f t="shared" si="22"/>
        <v/>
      </c>
      <c r="B734" s="3"/>
      <c r="C734" s="22"/>
      <c r="D734" s="4" t="str">
        <f>IF(C734="","",IFERROR(VLOOKUP(C734,'Calibrated Tools Register'!B:C,2,FALSE),"NOT registered"))</f>
        <v/>
      </c>
      <c r="E734" s="3"/>
      <c r="F734" s="4"/>
      <c r="G734" s="3"/>
      <c r="H734" s="3" t="str">
        <f ca="1">IFERROR(VLOOKUP(C734,'Calibrated Tools Register'!B:M,12,FALSE)-TODAY(),"")</f>
        <v/>
      </c>
      <c r="I734" s="3" t="str">
        <f t="shared" ca="1" si="23"/>
        <v/>
      </c>
      <c r="J734" s="3"/>
      <c r="K734" s="4"/>
      <c r="L734" s="3"/>
      <c r="M734" s="4"/>
      <c r="N734" s="4"/>
      <c r="O734" s="4"/>
    </row>
    <row r="735" spans="1:15">
      <c r="A735" s="3" t="str">
        <f t="shared" si="22"/>
        <v/>
      </c>
      <c r="B735" s="5"/>
      <c r="C735" s="23"/>
      <c r="D735" s="4" t="str">
        <f>IF(C735="","",IFERROR(VLOOKUP(C735,'Calibrated Tools Register'!B:C,2,FALSE),"NOT registered"))</f>
        <v/>
      </c>
      <c r="E735" s="5"/>
      <c r="F735" s="6"/>
      <c r="G735" s="5"/>
      <c r="H735" s="5" t="str">
        <f ca="1">IFERROR(VLOOKUP(C735,'Calibrated Tools Register'!B:M,12,FALSE)-TODAY(),"")</f>
        <v/>
      </c>
      <c r="I735" s="3" t="str">
        <f t="shared" ca="1" si="23"/>
        <v/>
      </c>
      <c r="J735" s="5"/>
      <c r="K735" s="6"/>
      <c r="L735" s="5"/>
      <c r="M735" s="6"/>
      <c r="N735" s="6"/>
      <c r="O735" s="6"/>
    </row>
    <row r="736" spans="1:15">
      <c r="A736" s="3" t="str">
        <f t="shared" si="22"/>
        <v/>
      </c>
      <c r="B736" s="3"/>
      <c r="C736" s="22"/>
      <c r="D736" s="4" t="str">
        <f>IF(C736="","",IFERROR(VLOOKUP(C736,'Calibrated Tools Register'!B:C,2,FALSE),"NOT registered"))</f>
        <v/>
      </c>
      <c r="E736" s="3"/>
      <c r="F736" s="4"/>
      <c r="G736" s="3"/>
      <c r="H736" s="3" t="str">
        <f ca="1">IFERROR(VLOOKUP(C736,'Calibrated Tools Register'!B:M,12,FALSE)-TODAY(),"")</f>
        <v/>
      </c>
      <c r="I736" s="3" t="str">
        <f t="shared" ca="1" si="23"/>
        <v/>
      </c>
      <c r="J736" s="3"/>
      <c r="K736" s="4"/>
      <c r="L736" s="3"/>
      <c r="M736" s="4"/>
      <c r="N736" s="4"/>
      <c r="O736" s="4"/>
    </row>
    <row r="737" spans="1:15">
      <c r="A737" s="3" t="str">
        <f t="shared" si="22"/>
        <v/>
      </c>
      <c r="B737" s="5"/>
      <c r="C737" s="23"/>
      <c r="D737" s="4" t="str">
        <f>IF(C737="","",IFERROR(VLOOKUP(C737,'Calibrated Tools Register'!B:C,2,FALSE),"NOT registered"))</f>
        <v/>
      </c>
      <c r="E737" s="5"/>
      <c r="F737" s="6"/>
      <c r="G737" s="5"/>
      <c r="H737" s="5" t="str">
        <f ca="1">IFERROR(VLOOKUP(C737,'Calibrated Tools Register'!B:M,12,FALSE)-TODAY(),"")</f>
        <v/>
      </c>
      <c r="I737" s="3" t="str">
        <f t="shared" ca="1" si="23"/>
        <v/>
      </c>
      <c r="J737" s="5"/>
      <c r="K737" s="6"/>
      <c r="L737" s="5"/>
      <c r="M737" s="6"/>
      <c r="N737" s="6"/>
      <c r="O737" s="6"/>
    </row>
    <row r="738" spans="1:15">
      <c r="A738" s="3" t="str">
        <f t="shared" si="22"/>
        <v/>
      </c>
      <c r="B738" s="3"/>
      <c r="C738" s="22"/>
      <c r="D738" s="4" t="str">
        <f>IF(C738="","",IFERROR(VLOOKUP(C738,'Calibrated Tools Register'!B:C,2,FALSE),"NOT registered"))</f>
        <v/>
      </c>
      <c r="E738" s="3"/>
      <c r="F738" s="4"/>
      <c r="G738" s="3"/>
      <c r="H738" s="3" t="str">
        <f ca="1">IFERROR(VLOOKUP(C738,'Calibrated Tools Register'!B:M,12,FALSE)-TODAY(),"")</f>
        <v/>
      </c>
      <c r="I738" s="3" t="str">
        <f t="shared" ca="1" si="23"/>
        <v/>
      </c>
      <c r="J738" s="3"/>
      <c r="K738" s="4"/>
      <c r="L738" s="3"/>
      <c r="M738" s="4"/>
      <c r="N738" s="4"/>
      <c r="O738" s="4"/>
    </row>
    <row r="739" spans="1:15">
      <c r="A739" s="3" t="str">
        <f t="shared" si="22"/>
        <v/>
      </c>
      <c r="B739" s="5"/>
      <c r="C739" s="23"/>
      <c r="D739" s="4" t="str">
        <f>IF(C739="","",IFERROR(VLOOKUP(C739,'Calibrated Tools Register'!B:C,2,FALSE),"NOT registered"))</f>
        <v/>
      </c>
      <c r="E739" s="5"/>
      <c r="F739" s="6"/>
      <c r="G739" s="5"/>
      <c r="H739" s="5" t="str">
        <f ca="1">IFERROR(VLOOKUP(C739,'Calibrated Tools Register'!B:M,12,FALSE)-TODAY(),"")</f>
        <v/>
      </c>
      <c r="I739" s="3" t="str">
        <f t="shared" ca="1" si="23"/>
        <v/>
      </c>
      <c r="J739" s="5"/>
      <c r="K739" s="6"/>
      <c r="L739" s="5"/>
      <c r="M739" s="6"/>
      <c r="N739" s="6"/>
      <c r="O739" s="6"/>
    </row>
    <row r="740" spans="1:15">
      <c r="A740" s="3" t="str">
        <f t="shared" si="22"/>
        <v/>
      </c>
      <c r="B740" s="3"/>
      <c r="C740" s="22"/>
      <c r="D740" s="4" t="str">
        <f>IF(C740="","",IFERROR(VLOOKUP(C740,'Calibrated Tools Register'!B:C,2,FALSE),"NOT registered"))</f>
        <v/>
      </c>
      <c r="E740" s="3"/>
      <c r="F740" s="4"/>
      <c r="G740" s="3"/>
      <c r="H740" s="3" t="str">
        <f ca="1">IFERROR(VLOOKUP(C740,'Calibrated Tools Register'!B:M,12,FALSE)-TODAY(),"")</f>
        <v/>
      </c>
      <c r="I740" s="3" t="str">
        <f t="shared" ca="1" si="23"/>
        <v/>
      </c>
      <c r="J740" s="3"/>
      <c r="K740" s="4"/>
      <c r="L740" s="3"/>
      <c r="M740" s="4"/>
      <c r="N740" s="4"/>
      <c r="O740" s="4"/>
    </row>
    <row r="741" spans="1:15">
      <c r="A741" s="3" t="str">
        <f t="shared" si="22"/>
        <v/>
      </c>
      <c r="B741" s="5"/>
      <c r="C741" s="23"/>
      <c r="D741" s="4" t="str">
        <f>IF(C741="","",IFERROR(VLOOKUP(C741,'Calibrated Tools Register'!B:C,2,FALSE),"NOT registered"))</f>
        <v/>
      </c>
      <c r="E741" s="5"/>
      <c r="F741" s="6"/>
      <c r="G741" s="5"/>
      <c r="H741" s="5" t="str">
        <f ca="1">IFERROR(VLOOKUP(C741,'Calibrated Tools Register'!B:M,12,FALSE)-TODAY(),"")</f>
        <v/>
      </c>
      <c r="I741" s="3" t="str">
        <f t="shared" ca="1" si="23"/>
        <v/>
      </c>
      <c r="J741" s="5"/>
      <c r="K741" s="6"/>
      <c r="L741" s="5"/>
      <c r="M741" s="6"/>
      <c r="N741" s="6"/>
      <c r="O741" s="6"/>
    </row>
    <row r="742" spans="1:15">
      <c r="A742" s="3" t="str">
        <f t="shared" si="22"/>
        <v/>
      </c>
      <c r="B742" s="3"/>
      <c r="C742" s="22"/>
      <c r="D742" s="4" t="str">
        <f>IF(C742="","",IFERROR(VLOOKUP(C742,'Calibrated Tools Register'!B:C,2,FALSE),"NOT registered"))</f>
        <v/>
      </c>
      <c r="E742" s="3"/>
      <c r="F742" s="4"/>
      <c r="G742" s="3"/>
      <c r="H742" s="3" t="str">
        <f ca="1">IFERROR(VLOOKUP(C742,'Calibrated Tools Register'!B:M,12,FALSE)-TODAY(),"")</f>
        <v/>
      </c>
      <c r="I742" s="3" t="str">
        <f t="shared" ca="1" si="23"/>
        <v/>
      </c>
      <c r="J742" s="3"/>
      <c r="K742" s="4"/>
      <c r="L742" s="3"/>
      <c r="M742" s="4"/>
      <c r="N742" s="4"/>
      <c r="O742" s="4"/>
    </row>
    <row r="743" spans="1:15">
      <c r="A743" s="3" t="str">
        <f t="shared" si="22"/>
        <v/>
      </c>
      <c r="B743" s="5"/>
      <c r="C743" s="23"/>
      <c r="D743" s="4" t="str">
        <f>IF(C743="","",IFERROR(VLOOKUP(C743,'Calibrated Tools Register'!B:C,2,FALSE),"NOT registered"))</f>
        <v/>
      </c>
      <c r="E743" s="5"/>
      <c r="F743" s="6"/>
      <c r="G743" s="5"/>
      <c r="H743" s="5" t="str">
        <f ca="1">IFERROR(VLOOKUP(C743,'Calibrated Tools Register'!B:M,12,FALSE)-TODAY(),"")</f>
        <v/>
      </c>
      <c r="I743" s="3" t="str">
        <f t="shared" ca="1" si="23"/>
        <v/>
      </c>
      <c r="J743" s="5"/>
      <c r="K743" s="6"/>
      <c r="L743" s="5"/>
      <c r="M743" s="6"/>
      <c r="N743" s="6"/>
      <c r="O743" s="6"/>
    </row>
    <row r="744" spans="1:15">
      <c r="A744" s="3" t="str">
        <f t="shared" si="22"/>
        <v/>
      </c>
      <c r="B744" s="3"/>
      <c r="C744" s="22"/>
      <c r="D744" s="4" t="str">
        <f>IF(C744="","",IFERROR(VLOOKUP(C744,'Calibrated Tools Register'!B:C,2,FALSE),"NOT registered"))</f>
        <v/>
      </c>
      <c r="E744" s="3"/>
      <c r="F744" s="4"/>
      <c r="G744" s="3"/>
      <c r="H744" s="3" t="str">
        <f ca="1">IFERROR(VLOOKUP(C744,'Calibrated Tools Register'!B:M,12,FALSE)-TODAY(),"")</f>
        <v/>
      </c>
      <c r="I744" s="3" t="str">
        <f t="shared" ca="1" si="23"/>
        <v/>
      </c>
      <c r="J744" s="3"/>
      <c r="K744" s="4"/>
      <c r="L744" s="3"/>
      <c r="M744" s="4"/>
      <c r="N744" s="4"/>
      <c r="O744" s="4"/>
    </row>
    <row r="745" spans="1:15">
      <c r="A745" s="3" t="str">
        <f t="shared" si="22"/>
        <v/>
      </c>
      <c r="B745" s="5"/>
      <c r="C745" s="23"/>
      <c r="D745" s="4" t="str">
        <f>IF(C745="","",IFERROR(VLOOKUP(C745,'Calibrated Tools Register'!B:C,2,FALSE),"NOT registered"))</f>
        <v/>
      </c>
      <c r="E745" s="5"/>
      <c r="F745" s="6"/>
      <c r="G745" s="5"/>
      <c r="H745" s="5" t="str">
        <f ca="1">IFERROR(VLOOKUP(C745,'Calibrated Tools Register'!B:M,12,FALSE)-TODAY(),"")</f>
        <v/>
      </c>
      <c r="I745" s="3" t="str">
        <f t="shared" ca="1" si="23"/>
        <v/>
      </c>
      <c r="J745" s="5"/>
      <c r="K745" s="6"/>
      <c r="L745" s="5"/>
      <c r="M745" s="6"/>
      <c r="N745" s="6"/>
      <c r="O745" s="6"/>
    </row>
    <row r="746" spans="1:15">
      <c r="A746" s="3" t="str">
        <f t="shared" si="22"/>
        <v/>
      </c>
      <c r="B746" s="3"/>
      <c r="C746" s="22"/>
      <c r="D746" s="4" t="str">
        <f>IF(C746="","",IFERROR(VLOOKUP(C746,'Calibrated Tools Register'!B:C,2,FALSE),"NOT registered"))</f>
        <v/>
      </c>
      <c r="E746" s="3"/>
      <c r="F746" s="4"/>
      <c r="G746" s="3"/>
      <c r="H746" s="3" t="str">
        <f ca="1">IFERROR(VLOOKUP(C746,'Calibrated Tools Register'!B:M,12,FALSE)-TODAY(),"")</f>
        <v/>
      </c>
      <c r="I746" s="3" t="str">
        <f t="shared" ca="1" si="23"/>
        <v/>
      </c>
      <c r="J746" s="3"/>
      <c r="K746" s="4"/>
      <c r="L746" s="3"/>
      <c r="M746" s="4"/>
      <c r="N746" s="4"/>
      <c r="O746" s="4"/>
    </row>
    <row r="747" spans="1:15">
      <c r="A747" s="3" t="str">
        <f t="shared" si="22"/>
        <v/>
      </c>
      <c r="B747" s="5"/>
      <c r="C747" s="23"/>
      <c r="D747" s="4" t="str">
        <f>IF(C747="","",IFERROR(VLOOKUP(C747,'Calibrated Tools Register'!B:C,2,FALSE),"NOT registered"))</f>
        <v/>
      </c>
      <c r="E747" s="5"/>
      <c r="F747" s="6"/>
      <c r="G747" s="5"/>
      <c r="H747" s="5" t="str">
        <f ca="1">IFERROR(VLOOKUP(C747,'Calibrated Tools Register'!B:M,12,FALSE)-TODAY(),"")</f>
        <v/>
      </c>
      <c r="I747" s="3" t="str">
        <f t="shared" ca="1" si="23"/>
        <v/>
      </c>
      <c r="J747" s="5"/>
      <c r="K747" s="6"/>
      <c r="L747" s="5"/>
      <c r="M747" s="6"/>
      <c r="N747" s="6"/>
      <c r="O747" s="6"/>
    </row>
    <row r="748" spans="1:15">
      <c r="A748" s="3" t="str">
        <f t="shared" si="22"/>
        <v/>
      </c>
      <c r="B748" s="3"/>
      <c r="C748" s="22"/>
      <c r="D748" s="4" t="str">
        <f>IF(C748="","",IFERROR(VLOOKUP(C748,'Calibrated Tools Register'!B:C,2,FALSE),"NOT registered"))</f>
        <v/>
      </c>
      <c r="E748" s="3"/>
      <c r="F748" s="4"/>
      <c r="G748" s="3"/>
      <c r="H748" s="3" t="str">
        <f ca="1">IFERROR(VLOOKUP(C748,'Calibrated Tools Register'!B:M,12,FALSE)-TODAY(),"")</f>
        <v/>
      </c>
      <c r="I748" s="3" t="str">
        <f t="shared" ca="1" si="23"/>
        <v/>
      </c>
      <c r="J748" s="3"/>
      <c r="K748" s="4"/>
      <c r="L748" s="3"/>
      <c r="M748" s="4"/>
      <c r="N748" s="4"/>
      <c r="O748" s="4"/>
    </row>
    <row r="749" spans="1:15">
      <c r="A749" s="3" t="str">
        <f t="shared" si="22"/>
        <v/>
      </c>
      <c r="B749" s="5"/>
      <c r="C749" s="23"/>
      <c r="D749" s="4" t="str">
        <f>IF(C749="","",IFERROR(VLOOKUP(C749,'Calibrated Tools Register'!B:C,2,FALSE),"NOT registered"))</f>
        <v/>
      </c>
      <c r="E749" s="5"/>
      <c r="F749" s="6"/>
      <c r="G749" s="5"/>
      <c r="H749" s="5" t="str">
        <f ca="1">IFERROR(VLOOKUP(C749,'Calibrated Tools Register'!B:M,12,FALSE)-TODAY(),"")</f>
        <v/>
      </c>
      <c r="I749" s="3" t="str">
        <f t="shared" ca="1" si="23"/>
        <v/>
      </c>
      <c r="J749" s="5"/>
      <c r="K749" s="6"/>
      <c r="L749" s="5"/>
      <c r="M749" s="6"/>
      <c r="N749" s="6"/>
      <c r="O749" s="6"/>
    </row>
    <row r="750" spans="1:15">
      <c r="A750" s="3" t="str">
        <f t="shared" si="22"/>
        <v/>
      </c>
      <c r="B750" s="3"/>
      <c r="C750" s="22"/>
      <c r="D750" s="4" t="str">
        <f>IF(C750="","",IFERROR(VLOOKUP(C750,'Calibrated Tools Register'!B:C,2,FALSE),"NOT registered"))</f>
        <v/>
      </c>
      <c r="E750" s="3"/>
      <c r="F750" s="4"/>
      <c r="G750" s="3"/>
      <c r="H750" s="3" t="str">
        <f ca="1">IFERROR(VLOOKUP(C750,'Calibrated Tools Register'!B:M,12,FALSE)-TODAY(),"")</f>
        <v/>
      </c>
      <c r="I750" s="3" t="str">
        <f t="shared" ca="1" si="23"/>
        <v/>
      </c>
      <c r="J750" s="3"/>
      <c r="K750" s="4"/>
      <c r="L750" s="3"/>
      <c r="M750" s="4"/>
      <c r="N750" s="4"/>
      <c r="O750" s="4"/>
    </row>
    <row r="751" spans="1:15">
      <c r="A751" s="3" t="str">
        <f t="shared" si="22"/>
        <v/>
      </c>
      <c r="B751" s="5"/>
      <c r="C751" s="23"/>
      <c r="D751" s="4" t="str">
        <f>IF(C751="","",IFERROR(VLOOKUP(C751,'Calibrated Tools Register'!B:C,2,FALSE),"NOT registered"))</f>
        <v/>
      </c>
      <c r="E751" s="5"/>
      <c r="F751" s="6"/>
      <c r="G751" s="5"/>
      <c r="H751" s="5" t="str">
        <f ca="1">IFERROR(VLOOKUP(C751,'Calibrated Tools Register'!B:M,12,FALSE)-TODAY(),"")</f>
        <v/>
      </c>
      <c r="I751" s="3" t="str">
        <f t="shared" ca="1" si="23"/>
        <v/>
      </c>
      <c r="J751" s="5"/>
      <c r="K751" s="6"/>
      <c r="L751" s="5"/>
      <c r="M751" s="6"/>
      <c r="N751" s="6"/>
      <c r="O751" s="6"/>
    </row>
    <row r="752" spans="1:15">
      <c r="A752" s="3" t="str">
        <f t="shared" si="22"/>
        <v/>
      </c>
      <c r="B752" s="3"/>
      <c r="C752" s="22"/>
      <c r="D752" s="4" t="str">
        <f>IF(C752="","",IFERROR(VLOOKUP(C752,'Calibrated Tools Register'!B:C,2,FALSE),"NOT registered"))</f>
        <v/>
      </c>
      <c r="E752" s="3"/>
      <c r="F752" s="4"/>
      <c r="G752" s="3"/>
      <c r="H752" s="3" t="str">
        <f ca="1">IFERROR(VLOOKUP(C752,'Calibrated Tools Register'!B:M,12,FALSE)-TODAY(),"")</f>
        <v/>
      </c>
      <c r="I752" s="3" t="str">
        <f t="shared" ca="1" si="23"/>
        <v/>
      </c>
      <c r="J752" s="3"/>
      <c r="K752" s="4"/>
      <c r="L752" s="3"/>
      <c r="M752" s="4"/>
      <c r="N752" s="4"/>
      <c r="O752" s="4"/>
    </row>
    <row r="753" spans="1:15">
      <c r="A753" s="3" t="str">
        <f t="shared" si="22"/>
        <v/>
      </c>
      <c r="B753" s="5"/>
      <c r="C753" s="23"/>
      <c r="D753" s="4" t="str">
        <f>IF(C753="","",IFERROR(VLOOKUP(C753,'Calibrated Tools Register'!B:C,2,FALSE),"NOT registered"))</f>
        <v/>
      </c>
      <c r="E753" s="5"/>
      <c r="F753" s="6"/>
      <c r="G753" s="5"/>
      <c r="H753" s="5" t="str">
        <f ca="1">IFERROR(VLOOKUP(C753,'Calibrated Tools Register'!B:M,12,FALSE)-TODAY(),"")</f>
        <v/>
      </c>
      <c r="I753" s="3" t="str">
        <f t="shared" ca="1" si="23"/>
        <v/>
      </c>
      <c r="J753" s="5"/>
      <c r="K753" s="6"/>
      <c r="L753" s="5"/>
      <c r="M753" s="6"/>
      <c r="N753" s="6"/>
      <c r="O753" s="6"/>
    </row>
    <row r="754" spans="1:15">
      <c r="A754" s="3" t="str">
        <f t="shared" si="22"/>
        <v/>
      </c>
      <c r="B754" s="3"/>
      <c r="C754" s="22"/>
      <c r="D754" s="4" t="str">
        <f>IF(C754="","",IFERROR(VLOOKUP(C754,'Calibrated Tools Register'!B:C,2,FALSE),"NOT registered"))</f>
        <v/>
      </c>
      <c r="E754" s="3"/>
      <c r="F754" s="4"/>
      <c r="G754" s="3"/>
      <c r="H754" s="3" t="str">
        <f ca="1">IFERROR(VLOOKUP(C754,'Calibrated Tools Register'!B:M,12,FALSE)-TODAY(),"")</f>
        <v/>
      </c>
      <c r="I754" s="3" t="str">
        <f t="shared" ca="1" si="23"/>
        <v/>
      </c>
      <c r="J754" s="3"/>
      <c r="K754" s="4"/>
      <c r="L754" s="3"/>
      <c r="M754" s="4"/>
      <c r="N754" s="4"/>
      <c r="O754" s="4"/>
    </row>
    <row r="755" spans="1:15">
      <c r="A755" s="3" t="str">
        <f t="shared" si="22"/>
        <v/>
      </c>
      <c r="B755" s="5"/>
      <c r="C755" s="23"/>
      <c r="D755" s="4" t="str">
        <f>IF(C755="","",IFERROR(VLOOKUP(C755,'Calibrated Tools Register'!B:C,2,FALSE),"NOT registered"))</f>
        <v/>
      </c>
      <c r="E755" s="5"/>
      <c r="F755" s="6"/>
      <c r="G755" s="5"/>
      <c r="H755" s="5" t="str">
        <f ca="1">IFERROR(VLOOKUP(C755,'Calibrated Tools Register'!B:M,12,FALSE)-TODAY(),"")</f>
        <v/>
      </c>
      <c r="I755" s="3" t="str">
        <f t="shared" ca="1" si="23"/>
        <v/>
      </c>
      <c r="J755" s="5"/>
      <c r="K755" s="6"/>
      <c r="L755" s="5"/>
      <c r="M755" s="6"/>
      <c r="N755" s="6"/>
      <c r="O755" s="6"/>
    </row>
    <row r="756" spans="1:15">
      <c r="A756" s="3" t="str">
        <f t="shared" si="22"/>
        <v/>
      </c>
      <c r="B756" s="3"/>
      <c r="C756" s="22"/>
      <c r="D756" s="4" t="str">
        <f>IF(C756="","",IFERROR(VLOOKUP(C756,'Calibrated Tools Register'!B:C,2,FALSE),"NOT registered"))</f>
        <v/>
      </c>
      <c r="E756" s="3"/>
      <c r="F756" s="4"/>
      <c r="G756" s="3"/>
      <c r="H756" s="3" t="str">
        <f ca="1">IFERROR(VLOOKUP(C756,'Calibrated Tools Register'!B:M,12,FALSE)-TODAY(),"")</f>
        <v/>
      </c>
      <c r="I756" s="3" t="str">
        <f t="shared" ca="1" si="23"/>
        <v/>
      </c>
      <c r="J756" s="3"/>
      <c r="K756" s="4"/>
      <c r="L756" s="3"/>
      <c r="M756" s="4"/>
      <c r="N756" s="4"/>
      <c r="O756" s="4"/>
    </row>
    <row r="757" spans="1:15">
      <c r="A757" s="3" t="str">
        <f t="shared" si="22"/>
        <v/>
      </c>
      <c r="B757" s="5"/>
      <c r="C757" s="23"/>
      <c r="D757" s="4" t="str">
        <f>IF(C757="","",IFERROR(VLOOKUP(C757,'Calibrated Tools Register'!B:C,2,FALSE),"NOT registered"))</f>
        <v/>
      </c>
      <c r="E757" s="5"/>
      <c r="F757" s="6"/>
      <c r="G757" s="5"/>
      <c r="H757" s="5" t="str">
        <f ca="1">IFERROR(VLOOKUP(C757,'Calibrated Tools Register'!B:M,12,FALSE)-TODAY(),"")</f>
        <v/>
      </c>
      <c r="I757" s="3" t="str">
        <f t="shared" ca="1" si="23"/>
        <v/>
      </c>
      <c r="J757" s="5"/>
      <c r="K757" s="6"/>
      <c r="L757" s="5"/>
      <c r="M757" s="6"/>
      <c r="N757" s="6"/>
      <c r="O757" s="6"/>
    </row>
    <row r="758" spans="1:15">
      <c r="A758" s="3" t="str">
        <f t="shared" si="22"/>
        <v/>
      </c>
      <c r="B758" s="3"/>
      <c r="C758" s="22"/>
      <c r="D758" s="4" t="str">
        <f>IF(C758="","",IFERROR(VLOOKUP(C758,'Calibrated Tools Register'!B:C,2,FALSE),"NOT registered"))</f>
        <v/>
      </c>
      <c r="E758" s="3"/>
      <c r="F758" s="4"/>
      <c r="G758" s="3"/>
      <c r="H758" s="3" t="str">
        <f ca="1">IFERROR(VLOOKUP(C758,'Calibrated Tools Register'!B:M,12,FALSE)-TODAY(),"")</f>
        <v/>
      </c>
      <c r="I758" s="3" t="str">
        <f t="shared" ca="1" si="23"/>
        <v/>
      </c>
      <c r="J758" s="3"/>
      <c r="K758" s="4"/>
      <c r="L758" s="3"/>
      <c r="M758" s="4"/>
      <c r="N758" s="4"/>
      <c r="O758" s="4"/>
    </row>
    <row r="759" spans="1:15">
      <c r="A759" s="3" t="str">
        <f t="shared" si="22"/>
        <v/>
      </c>
      <c r="B759" s="5"/>
      <c r="C759" s="23"/>
      <c r="D759" s="4" t="str">
        <f>IF(C759="","",IFERROR(VLOOKUP(C759,'Calibrated Tools Register'!B:C,2,FALSE),"NOT registered"))</f>
        <v/>
      </c>
      <c r="E759" s="5"/>
      <c r="F759" s="6"/>
      <c r="G759" s="5"/>
      <c r="H759" s="5" t="str">
        <f ca="1">IFERROR(VLOOKUP(C759,'Calibrated Tools Register'!B:M,12,FALSE)-TODAY(),"")</f>
        <v/>
      </c>
      <c r="I759" s="3" t="str">
        <f t="shared" ca="1" si="23"/>
        <v/>
      </c>
      <c r="J759" s="5"/>
      <c r="K759" s="6"/>
      <c r="L759" s="5"/>
      <c r="M759" s="6"/>
      <c r="N759" s="6"/>
      <c r="O759" s="6"/>
    </row>
    <row r="760" spans="1:15">
      <c r="A760" s="3" t="str">
        <f t="shared" si="22"/>
        <v/>
      </c>
      <c r="B760" s="3"/>
      <c r="C760" s="22"/>
      <c r="D760" s="4" t="str">
        <f>IF(C760="","",IFERROR(VLOOKUP(C760,'Calibrated Tools Register'!B:C,2,FALSE),"NOT registered"))</f>
        <v/>
      </c>
      <c r="E760" s="3"/>
      <c r="F760" s="4"/>
      <c r="G760" s="3"/>
      <c r="H760" s="3" t="str">
        <f ca="1">IFERROR(VLOOKUP(C760,'Calibrated Tools Register'!B:M,12,FALSE)-TODAY(),"")</f>
        <v/>
      </c>
      <c r="I760" s="3" t="str">
        <f t="shared" ca="1" si="23"/>
        <v/>
      </c>
      <c r="J760" s="3"/>
      <c r="K760" s="4"/>
      <c r="L760" s="3"/>
      <c r="M760" s="4"/>
      <c r="N760" s="4"/>
      <c r="O760" s="4"/>
    </row>
    <row r="761" spans="1:15">
      <c r="A761" s="3" t="str">
        <f t="shared" si="22"/>
        <v/>
      </c>
      <c r="B761" s="5"/>
      <c r="C761" s="23"/>
      <c r="D761" s="4" t="str">
        <f>IF(C761="","",IFERROR(VLOOKUP(C761,'Calibrated Tools Register'!B:C,2,FALSE),"NOT registered"))</f>
        <v/>
      </c>
      <c r="E761" s="5"/>
      <c r="F761" s="6"/>
      <c r="G761" s="5"/>
      <c r="H761" s="5" t="str">
        <f ca="1">IFERROR(VLOOKUP(C761,'Calibrated Tools Register'!B:M,12,FALSE)-TODAY(),"")</f>
        <v/>
      </c>
      <c r="I761" s="3" t="str">
        <f t="shared" ca="1" si="23"/>
        <v/>
      </c>
      <c r="J761" s="5"/>
      <c r="K761" s="6"/>
      <c r="L761" s="5"/>
      <c r="M761" s="6"/>
      <c r="N761" s="6"/>
      <c r="O761" s="6"/>
    </row>
    <row r="762" spans="1:15">
      <c r="A762" s="3" t="str">
        <f t="shared" si="22"/>
        <v/>
      </c>
      <c r="B762" s="3"/>
      <c r="C762" s="22"/>
      <c r="D762" s="4" t="str">
        <f>IF(C762="","",IFERROR(VLOOKUP(C762,'Calibrated Tools Register'!B:C,2,FALSE),"NOT registered"))</f>
        <v/>
      </c>
      <c r="E762" s="3"/>
      <c r="F762" s="4"/>
      <c r="G762" s="3"/>
      <c r="H762" s="3" t="str">
        <f ca="1">IFERROR(VLOOKUP(C762,'Calibrated Tools Register'!B:M,12,FALSE)-TODAY(),"")</f>
        <v/>
      </c>
      <c r="I762" s="3" t="str">
        <f t="shared" ca="1" si="23"/>
        <v/>
      </c>
      <c r="J762" s="3"/>
      <c r="K762" s="4"/>
      <c r="L762" s="3"/>
      <c r="M762" s="4"/>
      <c r="N762" s="4"/>
      <c r="O762" s="4"/>
    </row>
    <row r="763" spans="1:15">
      <c r="A763" s="3" t="str">
        <f t="shared" si="22"/>
        <v/>
      </c>
      <c r="B763" s="5"/>
      <c r="C763" s="23"/>
      <c r="D763" s="4" t="str">
        <f>IF(C763="","",IFERROR(VLOOKUP(C763,'Calibrated Tools Register'!B:C,2,FALSE),"NOT registered"))</f>
        <v/>
      </c>
      <c r="E763" s="5"/>
      <c r="F763" s="6"/>
      <c r="G763" s="5"/>
      <c r="H763" s="5" t="str">
        <f ca="1">IFERROR(VLOOKUP(C763,'Calibrated Tools Register'!B:M,12,FALSE)-TODAY(),"")</f>
        <v/>
      </c>
      <c r="I763" s="3" t="str">
        <f t="shared" ca="1" si="23"/>
        <v/>
      </c>
      <c r="J763" s="5"/>
      <c r="K763" s="6"/>
      <c r="L763" s="5"/>
      <c r="M763" s="6"/>
      <c r="N763" s="6"/>
      <c r="O763" s="6"/>
    </row>
    <row r="764" spans="1:15">
      <c r="A764" s="3" t="str">
        <f t="shared" si="22"/>
        <v/>
      </c>
      <c r="B764" s="3"/>
      <c r="C764" s="22"/>
      <c r="D764" s="4" t="str">
        <f>IF(C764="","",IFERROR(VLOOKUP(C764,'Calibrated Tools Register'!B:C,2,FALSE),"NOT registered"))</f>
        <v/>
      </c>
      <c r="E764" s="3"/>
      <c r="F764" s="4"/>
      <c r="G764" s="3"/>
      <c r="H764" s="3" t="str">
        <f ca="1">IFERROR(VLOOKUP(C764,'Calibrated Tools Register'!B:M,12,FALSE)-TODAY(),"")</f>
        <v/>
      </c>
      <c r="I764" s="3" t="str">
        <f t="shared" ca="1" si="23"/>
        <v/>
      </c>
      <c r="J764" s="3"/>
      <c r="K764" s="4"/>
      <c r="L764" s="3"/>
      <c r="M764" s="4"/>
      <c r="N764" s="4"/>
      <c r="O764" s="4"/>
    </row>
    <row r="765" spans="1:15">
      <c r="A765" s="3" t="str">
        <f t="shared" si="22"/>
        <v/>
      </c>
      <c r="B765" s="5"/>
      <c r="C765" s="23"/>
      <c r="D765" s="4" t="str">
        <f>IF(C765="","",IFERROR(VLOOKUP(C765,'Calibrated Tools Register'!B:C,2,FALSE),"NOT registered"))</f>
        <v/>
      </c>
      <c r="E765" s="5"/>
      <c r="F765" s="6"/>
      <c r="G765" s="5"/>
      <c r="H765" s="5" t="str">
        <f ca="1">IFERROR(VLOOKUP(C765,'Calibrated Tools Register'!B:M,12,FALSE)-TODAY(),"")</f>
        <v/>
      </c>
      <c r="I765" s="3" t="str">
        <f t="shared" ca="1" si="23"/>
        <v/>
      </c>
      <c r="J765" s="5"/>
      <c r="K765" s="6"/>
      <c r="L765" s="5"/>
      <c r="M765" s="6"/>
      <c r="N765" s="6"/>
      <c r="O765" s="6"/>
    </row>
    <row r="766" spans="1:15">
      <c r="A766" s="3" t="str">
        <f t="shared" si="22"/>
        <v/>
      </c>
      <c r="B766" s="3"/>
      <c r="C766" s="22"/>
      <c r="D766" s="4" t="str">
        <f>IF(C766="","",IFERROR(VLOOKUP(C766,'Calibrated Tools Register'!B:C,2,FALSE),"NOT registered"))</f>
        <v/>
      </c>
      <c r="E766" s="3"/>
      <c r="F766" s="4"/>
      <c r="G766" s="3"/>
      <c r="H766" s="3" t="str">
        <f ca="1">IFERROR(VLOOKUP(C766,'Calibrated Tools Register'!B:M,12,FALSE)-TODAY(),"")</f>
        <v/>
      </c>
      <c r="I766" s="3" t="str">
        <f t="shared" ca="1" si="23"/>
        <v/>
      </c>
      <c r="J766" s="3"/>
      <c r="K766" s="4"/>
      <c r="L766" s="3"/>
      <c r="M766" s="4"/>
      <c r="N766" s="4"/>
      <c r="O766" s="4"/>
    </row>
    <row r="767" spans="1:15">
      <c r="A767" s="3" t="str">
        <f t="shared" si="22"/>
        <v/>
      </c>
      <c r="B767" s="5"/>
      <c r="C767" s="23"/>
      <c r="D767" s="4" t="str">
        <f>IF(C767="","",IFERROR(VLOOKUP(C767,'Calibrated Tools Register'!B:C,2,FALSE),"NOT registered"))</f>
        <v/>
      </c>
      <c r="E767" s="5"/>
      <c r="F767" s="6"/>
      <c r="G767" s="5"/>
      <c r="H767" s="5" t="str">
        <f ca="1">IFERROR(VLOOKUP(C767,'Calibrated Tools Register'!B:M,12,FALSE)-TODAY(),"")</f>
        <v/>
      </c>
      <c r="I767" s="3" t="str">
        <f t="shared" ca="1" si="23"/>
        <v/>
      </c>
      <c r="J767" s="5"/>
      <c r="K767" s="6"/>
      <c r="L767" s="5"/>
      <c r="M767" s="6"/>
      <c r="N767" s="6"/>
      <c r="O767" s="6"/>
    </row>
    <row r="768" spans="1:15">
      <c r="A768" s="3" t="str">
        <f t="shared" si="22"/>
        <v/>
      </c>
      <c r="B768" s="3"/>
      <c r="C768" s="22"/>
      <c r="D768" s="4" t="str">
        <f>IF(C768="","",IFERROR(VLOOKUP(C768,'Calibrated Tools Register'!B:C,2,FALSE),"NOT registered"))</f>
        <v/>
      </c>
      <c r="E768" s="3"/>
      <c r="F768" s="4"/>
      <c r="G768" s="3"/>
      <c r="H768" s="3" t="str">
        <f ca="1">IFERROR(VLOOKUP(C768,'Calibrated Tools Register'!B:M,12,FALSE)-TODAY(),"")</f>
        <v/>
      </c>
      <c r="I768" s="3" t="str">
        <f t="shared" ca="1" si="23"/>
        <v/>
      </c>
      <c r="J768" s="3"/>
      <c r="K768" s="4"/>
      <c r="L768" s="3"/>
      <c r="M768" s="4"/>
      <c r="N768" s="4"/>
      <c r="O768" s="4"/>
    </row>
    <row r="769" spans="1:15">
      <c r="A769" s="3" t="str">
        <f t="shared" si="22"/>
        <v/>
      </c>
      <c r="B769" s="5"/>
      <c r="C769" s="23"/>
      <c r="D769" s="4" t="str">
        <f>IF(C769="","",IFERROR(VLOOKUP(C769,'Calibrated Tools Register'!B:C,2,FALSE),"NOT registered"))</f>
        <v/>
      </c>
      <c r="E769" s="5"/>
      <c r="F769" s="6"/>
      <c r="G769" s="5"/>
      <c r="H769" s="5" t="str">
        <f ca="1">IFERROR(VLOOKUP(C769,'Calibrated Tools Register'!B:M,12,FALSE)-TODAY(),"")</f>
        <v/>
      </c>
      <c r="I769" s="3" t="str">
        <f t="shared" ca="1" si="23"/>
        <v/>
      </c>
      <c r="J769" s="5"/>
      <c r="K769" s="6"/>
      <c r="L769" s="5"/>
      <c r="M769" s="6"/>
      <c r="N769" s="6"/>
      <c r="O769" s="6"/>
    </row>
    <row r="770" spans="1:15">
      <c r="A770" s="3" t="str">
        <f t="shared" si="22"/>
        <v/>
      </c>
      <c r="B770" s="3"/>
      <c r="C770" s="22"/>
      <c r="D770" s="4" t="str">
        <f>IF(C770="","",IFERROR(VLOOKUP(C770,'Calibrated Tools Register'!B:C,2,FALSE),"NOT registered"))</f>
        <v/>
      </c>
      <c r="E770" s="3"/>
      <c r="F770" s="4"/>
      <c r="G770" s="3"/>
      <c r="H770" s="3" t="str">
        <f ca="1">IFERROR(VLOOKUP(C770,'Calibrated Tools Register'!B:M,12,FALSE)-TODAY(),"")</f>
        <v/>
      </c>
      <c r="I770" s="3" t="str">
        <f t="shared" ca="1" si="23"/>
        <v/>
      </c>
      <c r="J770" s="3"/>
      <c r="K770" s="4"/>
      <c r="L770" s="3"/>
      <c r="M770" s="4"/>
      <c r="N770" s="4"/>
      <c r="O770" s="4"/>
    </row>
    <row r="771" spans="1:15">
      <c r="A771" s="3" t="str">
        <f t="shared" si="22"/>
        <v/>
      </c>
      <c r="B771" s="5"/>
      <c r="C771" s="23"/>
      <c r="D771" s="4" t="str">
        <f>IF(C771="","",IFERROR(VLOOKUP(C771,'Calibrated Tools Register'!B:C,2,FALSE),"NOT registered"))</f>
        <v/>
      </c>
      <c r="E771" s="5"/>
      <c r="F771" s="6"/>
      <c r="G771" s="5"/>
      <c r="H771" s="5" t="str">
        <f ca="1">IFERROR(VLOOKUP(C771,'Calibrated Tools Register'!B:M,12,FALSE)-TODAY(),"")</f>
        <v/>
      </c>
      <c r="I771" s="3" t="str">
        <f t="shared" ca="1" si="23"/>
        <v/>
      </c>
      <c r="J771" s="5"/>
      <c r="K771" s="6"/>
      <c r="L771" s="5"/>
      <c r="M771" s="6"/>
      <c r="N771" s="6"/>
      <c r="O771" s="6"/>
    </row>
    <row r="772" spans="1:15">
      <c r="A772" s="3" t="str">
        <f t="shared" ref="A772:A835" si="24">IF(C772="","",ROW(C772)-3)</f>
        <v/>
      </c>
      <c r="B772" s="3"/>
      <c r="C772" s="22"/>
      <c r="D772" s="4" t="str">
        <f>IF(C772="","",IFERROR(VLOOKUP(C772,'Calibrated Tools Register'!B:C,2,FALSE),"NOT registered"))</f>
        <v/>
      </c>
      <c r="E772" s="3"/>
      <c r="F772" s="4"/>
      <c r="G772" s="3"/>
      <c r="H772" s="3" t="str">
        <f ca="1">IFERROR(VLOOKUP(C772,'Calibrated Tools Register'!B:M,12,FALSE)-TODAY(),"")</f>
        <v/>
      </c>
      <c r="I772" s="3" t="str">
        <f t="shared" ca="1" si="23"/>
        <v/>
      </c>
      <c r="J772" s="3"/>
      <c r="K772" s="4"/>
      <c r="L772" s="3"/>
      <c r="M772" s="4"/>
      <c r="N772" s="4"/>
      <c r="O772" s="4"/>
    </row>
    <row r="773" spans="1:15">
      <c r="A773" s="3" t="str">
        <f t="shared" si="24"/>
        <v/>
      </c>
      <c r="B773" s="5"/>
      <c r="C773" s="23"/>
      <c r="D773" s="4" t="str">
        <f>IF(C773="","",IFERROR(VLOOKUP(C773,'Calibrated Tools Register'!B:C,2,FALSE),"NOT registered"))</f>
        <v/>
      </c>
      <c r="E773" s="5"/>
      <c r="F773" s="6"/>
      <c r="G773" s="5"/>
      <c r="H773" s="5" t="str">
        <f ca="1">IFERROR(VLOOKUP(C773,'Calibrated Tools Register'!B:M,12,FALSE)-TODAY(),"")</f>
        <v/>
      </c>
      <c r="I773" s="3" t="str">
        <f t="shared" ref="I773:I836" ca="1" si="25">IF(H773="","",IF(H773&lt;=0,"Urgent",IF(H773&lt;=30,"High",IF(H773&lt;=45,"Medium","Low"))))</f>
        <v/>
      </c>
      <c r="J773" s="5"/>
      <c r="K773" s="6"/>
      <c r="L773" s="5"/>
      <c r="M773" s="6"/>
      <c r="N773" s="6"/>
      <c r="O773" s="6"/>
    </row>
    <row r="774" spans="1:15">
      <c r="A774" s="3" t="str">
        <f t="shared" si="24"/>
        <v/>
      </c>
      <c r="B774" s="3"/>
      <c r="C774" s="22"/>
      <c r="D774" s="4" t="str">
        <f>IF(C774="","",IFERROR(VLOOKUP(C774,'Calibrated Tools Register'!B:C,2,FALSE),"NOT registered"))</f>
        <v/>
      </c>
      <c r="E774" s="3"/>
      <c r="F774" s="4"/>
      <c r="G774" s="3"/>
      <c r="H774" s="3" t="str">
        <f ca="1">IFERROR(VLOOKUP(C774,'Calibrated Tools Register'!B:M,12,FALSE)-TODAY(),"")</f>
        <v/>
      </c>
      <c r="I774" s="3" t="str">
        <f t="shared" ca="1" si="25"/>
        <v/>
      </c>
      <c r="J774" s="3"/>
      <c r="K774" s="4"/>
      <c r="L774" s="3"/>
      <c r="M774" s="4"/>
      <c r="N774" s="4"/>
      <c r="O774" s="4"/>
    </row>
    <row r="775" spans="1:15">
      <c r="A775" s="3" t="str">
        <f t="shared" si="24"/>
        <v/>
      </c>
      <c r="B775" s="5"/>
      <c r="C775" s="23"/>
      <c r="D775" s="4" t="str">
        <f>IF(C775="","",IFERROR(VLOOKUP(C775,'Calibrated Tools Register'!B:C,2,FALSE),"NOT registered"))</f>
        <v/>
      </c>
      <c r="E775" s="5"/>
      <c r="F775" s="6"/>
      <c r="G775" s="5"/>
      <c r="H775" s="5" t="str">
        <f ca="1">IFERROR(VLOOKUP(C775,'Calibrated Tools Register'!B:M,12,FALSE)-TODAY(),"")</f>
        <v/>
      </c>
      <c r="I775" s="3" t="str">
        <f t="shared" ca="1" si="25"/>
        <v/>
      </c>
      <c r="J775" s="5"/>
      <c r="K775" s="6"/>
      <c r="L775" s="5"/>
      <c r="M775" s="6"/>
      <c r="N775" s="6"/>
      <c r="O775" s="6"/>
    </row>
    <row r="776" spans="1:15">
      <c r="A776" s="3" t="str">
        <f t="shared" si="24"/>
        <v/>
      </c>
      <c r="B776" s="3"/>
      <c r="C776" s="22"/>
      <c r="D776" s="4" t="str">
        <f>IF(C776="","",IFERROR(VLOOKUP(C776,'Calibrated Tools Register'!B:C,2,FALSE),"NOT registered"))</f>
        <v/>
      </c>
      <c r="E776" s="3"/>
      <c r="F776" s="4"/>
      <c r="G776" s="3"/>
      <c r="H776" s="3" t="str">
        <f ca="1">IFERROR(VLOOKUP(C776,'Calibrated Tools Register'!B:M,12,FALSE)-TODAY(),"")</f>
        <v/>
      </c>
      <c r="I776" s="3" t="str">
        <f t="shared" ca="1" si="25"/>
        <v/>
      </c>
      <c r="J776" s="3"/>
      <c r="K776" s="4"/>
      <c r="L776" s="3"/>
      <c r="M776" s="4"/>
      <c r="N776" s="4"/>
      <c r="O776" s="4"/>
    </row>
    <row r="777" spans="1:15">
      <c r="A777" s="3" t="str">
        <f t="shared" si="24"/>
        <v/>
      </c>
      <c r="B777" s="5"/>
      <c r="C777" s="23"/>
      <c r="D777" s="4" t="str">
        <f>IF(C777="","",IFERROR(VLOOKUP(C777,'Calibrated Tools Register'!B:C,2,FALSE),"NOT registered"))</f>
        <v/>
      </c>
      <c r="E777" s="5"/>
      <c r="F777" s="6"/>
      <c r="G777" s="5"/>
      <c r="H777" s="5" t="str">
        <f ca="1">IFERROR(VLOOKUP(C777,'Calibrated Tools Register'!B:M,12,FALSE)-TODAY(),"")</f>
        <v/>
      </c>
      <c r="I777" s="3" t="str">
        <f t="shared" ca="1" si="25"/>
        <v/>
      </c>
      <c r="J777" s="5"/>
      <c r="K777" s="6"/>
      <c r="L777" s="5"/>
      <c r="M777" s="6"/>
      <c r="N777" s="6"/>
      <c r="O777" s="6"/>
    </row>
    <row r="778" spans="1:15">
      <c r="A778" s="3" t="str">
        <f t="shared" si="24"/>
        <v/>
      </c>
      <c r="B778" s="3"/>
      <c r="C778" s="22"/>
      <c r="D778" s="4" t="str">
        <f>IF(C778="","",IFERROR(VLOOKUP(C778,'Calibrated Tools Register'!B:C,2,FALSE),"NOT registered"))</f>
        <v/>
      </c>
      <c r="E778" s="3"/>
      <c r="F778" s="4"/>
      <c r="G778" s="3"/>
      <c r="H778" s="3" t="str">
        <f ca="1">IFERROR(VLOOKUP(C778,'Calibrated Tools Register'!B:M,12,FALSE)-TODAY(),"")</f>
        <v/>
      </c>
      <c r="I778" s="3" t="str">
        <f t="shared" ca="1" si="25"/>
        <v/>
      </c>
      <c r="J778" s="3"/>
      <c r="K778" s="4"/>
      <c r="L778" s="3"/>
      <c r="M778" s="4"/>
      <c r="N778" s="4"/>
      <c r="O778" s="4"/>
    </row>
    <row r="779" spans="1:15">
      <c r="A779" s="3" t="str">
        <f t="shared" si="24"/>
        <v/>
      </c>
      <c r="B779" s="5"/>
      <c r="C779" s="23"/>
      <c r="D779" s="4" t="str">
        <f>IF(C779="","",IFERROR(VLOOKUP(C779,'Calibrated Tools Register'!B:C,2,FALSE),"NOT registered"))</f>
        <v/>
      </c>
      <c r="E779" s="5"/>
      <c r="F779" s="6"/>
      <c r="G779" s="5"/>
      <c r="H779" s="5" t="str">
        <f ca="1">IFERROR(VLOOKUP(C779,'Calibrated Tools Register'!B:M,12,FALSE)-TODAY(),"")</f>
        <v/>
      </c>
      <c r="I779" s="3" t="str">
        <f t="shared" ca="1" si="25"/>
        <v/>
      </c>
      <c r="J779" s="5"/>
      <c r="K779" s="6"/>
      <c r="L779" s="5"/>
      <c r="M779" s="6"/>
      <c r="N779" s="6"/>
      <c r="O779" s="6"/>
    </row>
    <row r="780" spans="1:15">
      <c r="A780" s="3" t="str">
        <f t="shared" si="24"/>
        <v/>
      </c>
      <c r="B780" s="3"/>
      <c r="C780" s="22"/>
      <c r="D780" s="4" t="str">
        <f>IF(C780="","",IFERROR(VLOOKUP(C780,'Calibrated Tools Register'!B:C,2,FALSE),"NOT registered"))</f>
        <v/>
      </c>
      <c r="E780" s="3"/>
      <c r="F780" s="4"/>
      <c r="G780" s="3"/>
      <c r="H780" s="3" t="str">
        <f ca="1">IFERROR(VLOOKUP(C780,'Calibrated Tools Register'!B:M,12,FALSE)-TODAY(),"")</f>
        <v/>
      </c>
      <c r="I780" s="3" t="str">
        <f t="shared" ca="1" si="25"/>
        <v/>
      </c>
      <c r="J780" s="3"/>
      <c r="K780" s="4"/>
      <c r="L780" s="3"/>
      <c r="M780" s="4"/>
      <c r="N780" s="4"/>
      <c r="O780" s="4"/>
    </row>
    <row r="781" spans="1:15">
      <c r="A781" s="3" t="str">
        <f t="shared" si="24"/>
        <v/>
      </c>
      <c r="B781" s="5"/>
      <c r="C781" s="23"/>
      <c r="D781" s="4" t="str">
        <f>IF(C781="","",IFERROR(VLOOKUP(C781,'Calibrated Tools Register'!B:C,2,FALSE),"NOT registered"))</f>
        <v/>
      </c>
      <c r="E781" s="5"/>
      <c r="F781" s="6"/>
      <c r="G781" s="5"/>
      <c r="H781" s="5" t="str">
        <f ca="1">IFERROR(VLOOKUP(C781,'Calibrated Tools Register'!B:M,12,FALSE)-TODAY(),"")</f>
        <v/>
      </c>
      <c r="I781" s="3" t="str">
        <f t="shared" ca="1" si="25"/>
        <v/>
      </c>
      <c r="J781" s="5"/>
      <c r="K781" s="6"/>
      <c r="L781" s="5"/>
      <c r="M781" s="6"/>
      <c r="N781" s="6"/>
      <c r="O781" s="6"/>
    </row>
    <row r="782" spans="1:15">
      <c r="A782" s="3" t="str">
        <f t="shared" si="24"/>
        <v/>
      </c>
      <c r="B782" s="3"/>
      <c r="C782" s="22"/>
      <c r="D782" s="4" t="str">
        <f>IF(C782="","",IFERROR(VLOOKUP(C782,'Calibrated Tools Register'!B:C,2,FALSE),"NOT registered"))</f>
        <v/>
      </c>
      <c r="E782" s="3"/>
      <c r="F782" s="4"/>
      <c r="G782" s="3"/>
      <c r="H782" s="3" t="str">
        <f ca="1">IFERROR(VLOOKUP(C782,'Calibrated Tools Register'!B:M,12,FALSE)-TODAY(),"")</f>
        <v/>
      </c>
      <c r="I782" s="3" t="str">
        <f t="shared" ca="1" si="25"/>
        <v/>
      </c>
      <c r="J782" s="3"/>
      <c r="K782" s="4"/>
      <c r="L782" s="3"/>
      <c r="M782" s="4"/>
      <c r="N782" s="4"/>
      <c r="O782" s="4"/>
    </row>
    <row r="783" spans="1:15">
      <c r="A783" s="3" t="str">
        <f t="shared" si="24"/>
        <v/>
      </c>
      <c r="B783" s="5"/>
      <c r="C783" s="23"/>
      <c r="D783" s="4" t="str">
        <f>IF(C783="","",IFERROR(VLOOKUP(C783,'Calibrated Tools Register'!B:C,2,FALSE),"NOT registered"))</f>
        <v/>
      </c>
      <c r="E783" s="5"/>
      <c r="F783" s="6"/>
      <c r="G783" s="5"/>
      <c r="H783" s="5" t="str">
        <f ca="1">IFERROR(VLOOKUP(C783,'Calibrated Tools Register'!B:M,12,FALSE)-TODAY(),"")</f>
        <v/>
      </c>
      <c r="I783" s="3" t="str">
        <f t="shared" ca="1" si="25"/>
        <v/>
      </c>
      <c r="J783" s="5"/>
      <c r="K783" s="6"/>
      <c r="L783" s="5"/>
      <c r="M783" s="6"/>
      <c r="N783" s="6"/>
      <c r="O783" s="6"/>
    </row>
    <row r="784" spans="1:15">
      <c r="A784" s="3" t="str">
        <f t="shared" si="24"/>
        <v/>
      </c>
      <c r="B784" s="3"/>
      <c r="C784" s="22"/>
      <c r="D784" s="4" t="str">
        <f>IF(C784="","",IFERROR(VLOOKUP(C784,'Calibrated Tools Register'!B:C,2,FALSE),"NOT registered"))</f>
        <v/>
      </c>
      <c r="E784" s="3"/>
      <c r="F784" s="4"/>
      <c r="G784" s="3"/>
      <c r="H784" s="3" t="str">
        <f ca="1">IFERROR(VLOOKUP(C784,'Calibrated Tools Register'!B:M,12,FALSE)-TODAY(),"")</f>
        <v/>
      </c>
      <c r="I784" s="3" t="str">
        <f t="shared" ca="1" si="25"/>
        <v/>
      </c>
      <c r="J784" s="3"/>
      <c r="K784" s="4"/>
      <c r="L784" s="3"/>
      <c r="M784" s="4"/>
      <c r="N784" s="4"/>
      <c r="O784" s="4"/>
    </row>
    <row r="785" spans="1:15">
      <c r="A785" s="3" t="str">
        <f t="shared" si="24"/>
        <v/>
      </c>
      <c r="B785" s="5"/>
      <c r="C785" s="23"/>
      <c r="D785" s="4" t="str">
        <f>IF(C785="","",IFERROR(VLOOKUP(C785,'Calibrated Tools Register'!B:C,2,FALSE),"NOT registered"))</f>
        <v/>
      </c>
      <c r="E785" s="5"/>
      <c r="F785" s="6"/>
      <c r="G785" s="5"/>
      <c r="H785" s="5" t="str">
        <f ca="1">IFERROR(VLOOKUP(C785,'Calibrated Tools Register'!B:M,12,FALSE)-TODAY(),"")</f>
        <v/>
      </c>
      <c r="I785" s="3" t="str">
        <f t="shared" ca="1" si="25"/>
        <v/>
      </c>
      <c r="J785" s="5"/>
      <c r="K785" s="6"/>
      <c r="L785" s="5"/>
      <c r="M785" s="6"/>
      <c r="N785" s="6"/>
      <c r="O785" s="6"/>
    </row>
    <row r="786" spans="1:15">
      <c r="A786" s="3" t="str">
        <f t="shared" si="24"/>
        <v/>
      </c>
      <c r="B786" s="3"/>
      <c r="C786" s="22"/>
      <c r="D786" s="4" t="str">
        <f>IF(C786="","",IFERROR(VLOOKUP(C786,'Calibrated Tools Register'!B:C,2,FALSE),"NOT registered"))</f>
        <v/>
      </c>
      <c r="E786" s="3"/>
      <c r="F786" s="4"/>
      <c r="G786" s="3"/>
      <c r="H786" s="3" t="str">
        <f ca="1">IFERROR(VLOOKUP(C786,'Calibrated Tools Register'!B:M,12,FALSE)-TODAY(),"")</f>
        <v/>
      </c>
      <c r="I786" s="3" t="str">
        <f t="shared" ca="1" si="25"/>
        <v/>
      </c>
      <c r="J786" s="3"/>
      <c r="K786" s="4"/>
      <c r="L786" s="3"/>
      <c r="M786" s="4"/>
      <c r="N786" s="4"/>
      <c r="O786" s="4"/>
    </row>
    <row r="787" spans="1:15">
      <c r="A787" s="3" t="str">
        <f t="shared" si="24"/>
        <v/>
      </c>
      <c r="B787" s="5"/>
      <c r="C787" s="23"/>
      <c r="D787" s="4" t="str">
        <f>IF(C787="","",IFERROR(VLOOKUP(C787,'Calibrated Tools Register'!B:C,2,FALSE),"NOT registered"))</f>
        <v/>
      </c>
      <c r="E787" s="5"/>
      <c r="F787" s="6"/>
      <c r="G787" s="5"/>
      <c r="H787" s="5" t="str">
        <f ca="1">IFERROR(VLOOKUP(C787,'Calibrated Tools Register'!B:M,12,FALSE)-TODAY(),"")</f>
        <v/>
      </c>
      <c r="I787" s="3" t="str">
        <f t="shared" ca="1" si="25"/>
        <v/>
      </c>
      <c r="J787" s="5"/>
      <c r="K787" s="6"/>
      <c r="L787" s="5"/>
      <c r="M787" s="6"/>
      <c r="N787" s="6"/>
      <c r="O787" s="6"/>
    </row>
    <row r="788" spans="1:15">
      <c r="A788" s="3" t="str">
        <f t="shared" si="24"/>
        <v/>
      </c>
      <c r="B788" s="3"/>
      <c r="C788" s="22"/>
      <c r="D788" s="4" t="str">
        <f>IF(C788="","",IFERROR(VLOOKUP(C788,'Calibrated Tools Register'!B:C,2,FALSE),"NOT registered"))</f>
        <v/>
      </c>
      <c r="E788" s="3"/>
      <c r="F788" s="4"/>
      <c r="G788" s="3"/>
      <c r="H788" s="3" t="str">
        <f ca="1">IFERROR(VLOOKUP(C788,'Calibrated Tools Register'!B:M,12,FALSE)-TODAY(),"")</f>
        <v/>
      </c>
      <c r="I788" s="3" t="str">
        <f t="shared" ca="1" si="25"/>
        <v/>
      </c>
      <c r="J788" s="3"/>
      <c r="K788" s="4"/>
      <c r="L788" s="3"/>
      <c r="M788" s="4"/>
      <c r="N788" s="4"/>
      <c r="O788" s="4"/>
    </row>
    <row r="789" spans="1:15">
      <c r="A789" s="3" t="str">
        <f t="shared" si="24"/>
        <v/>
      </c>
      <c r="B789" s="5"/>
      <c r="C789" s="23"/>
      <c r="D789" s="4" t="str">
        <f>IF(C789="","",IFERROR(VLOOKUP(C789,'Calibrated Tools Register'!B:C,2,FALSE),"NOT registered"))</f>
        <v/>
      </c>
      <c r="E789" s="5"/>
      <c r="F789" s="6"/>
      <c r="G789" s="5"/>
      <c r="H789" s="5" t="str">
        <f ca="1">IFERROR(VLOOKUP(C789,'Calibrated Tools Register'!B:M,12,FALSE)-TODAY(),"")</f>
        <v/>
      </c>
      <c r="I789" s="3" t="str">
        <f t="shared" ca="1" si="25"/>
        <v/>
      </c>
      <c r="J789" s="5"/>
      <c r="K789" s="6"/>
      <c r="L789" s="5"/>
      <c r="M789" s="6"/>
      <c r="N789" s="6"/>
      <c r="O789" s="6"/>
    </row>
    <row r="790" spans="1:15">
      <c r="A790" s="3" t="str">
        <f t="shared" si="24"/>
        <v/>
      </c>
      <c r="B790" s="3"/>
      <c r="C790" s="22"/>
      <c r="D790" s="4" t="str">
        <f>IF(C790="","",IFERROR(VLOOKUP(C790,'Calibrated Tools Register'!B:C,2,FALSE),"NOT registered"))</f>
        <v/>
      </c>
      <c r="E790" s="3"/>
      <c r="F790" s="4"/>
      <c r="G790" s="3"/>
      <c r="H790" s="3" t="str">
        <f ca="1">IFERROR(VLOOKUP(C790,'Calibrated Tools Register'!B:M,12,FALSE)-TODAY(),"")</f>
        <v/>
      </c>
      <c r="I790" s="3" t="str">
        <f t="shared" ca="1" si="25"/>
        <v/>
      </c>
      <c r="J790" s="3"/>
      <c r="K790" s="4"/>
      <c r="L790" s="3"/>
      <c r="M790" s="4"/>
      <c r="N790" s="4"/>
      <c r="O790" s="4"/>
    </row>
    <row r="791" spans="1:15">
      <c r="A791" s="3" t="str">
        <f t="shared" si="24"/>
        <v/>
      </c>
      <c r="B791" s="5"/>
      <c r="C791" s="23"/>
      <c r="D791" s="4" t="str">
        <f>IF(C791="","",IFERROR(VLOOKUP(C791,'Calibrated Tools Register'!B:C,2,FALSE),"NOT registered"))</f>
        <v/>
      </c>
      <c r="E791" s="5"/>
      <c r="F791" s="6"/>
      <c r="G791" s="5"/>
      <c r="H791" s="5" t="str">
        <f ca="1">IFERROR(VLOOKUP(C791,'Calibrated Tools Register'!B:M,12,FALSE)-TODAY(),"")</f>
        <v/>
      </c>
      <c r="I791" s="3" t="str">
        <f t="shared" ca="1" si="25"/>
        <v/>
      </c>
      <c r="J791" s="5"/>
      <c r="K791" s="6"/>
      <c r="L791" s="5"/>
      <c r="M791" s="6"/>
      <c r="N791" s="6"/>
      <c r="O791" s="6"/>
    </row>
    <row r="792" spans="1:15">
      <c r="A792" s="3" t="str">
        <f t="shared" si="24"/>
        <v/>
      </c>
      <c r="B792" s="3"/>
      <c r="C792" s="22"/>
      <c r="D792" s="4" t="str">
        <f>IF(C792="","",IFERROR(VLOOKUP(C792,'Calibrated Tools Register'!B:C,2,FALSE),"NOT registered"))</f>
        <v/>
      </c>
      <c r="E792" s="3"/>
      <c r="F792" s="4"/>
      <c r="G792" s="3"/>
      <c r="H792" s="3" t="str">
        <f ca="1">IFERROR(VLOOKUP(C792,'Calibrated Tools Register'!B:M,12,FALSE)-TODAY(),"")</f>
        <v/>
      </c>
      <c r="I792" s="3" t="str">
        <f t="shared" ca="1" si="25"/>
        <v/>
      </c>
      <c r="J792" s="3"/>
      <c r="K792" s="4"/>
      <c r="L792" s="3"/>
      <c r="M792" s="4"/>
      <c r="N792" s="4"/>
      <c r="O792" s="4"/>
    </row>
    <row r="793" spans="1:15">
      <c r="A793" s="3" t="str">
        <f t="shared" si="24"/>
        <v/>
      </c>
      <c r="B793" s="5"/>
      <c r="C793" s="23"/>
      <c r="D793" s="4" t="str">
        <f>IF(C793="","",IFERROR(VLOOKUP(C793,'Calibrated Tools Register'!B:C,2,FALSE),"NOT registered"))</f>
        <v/>
      </c>
      <c r="E793" s="5"/>
      <c r="F793" s="6"/>
      <c r="G793" s="5"/>
      <c r="H793" s="5" t="str">
        <f ca="1">IFERROR(VLOOKUP(C793,'Calibrated Tools Register'!B:M,12,FALSE)-TODAY(),"")</f>
        <v/>
      </c>
      <c r="I793" s="3" t="str">
        <f t="shared" ca="1" si="25"/>
        <v/>
      </c>
      <c r="J793" s="5"/>
      <c r="K793" s="6"/>
      <c r="L793" s="5"/>
      <c r="M793" s="6"/>
      <c r="N793" s="6"/>
      <c r="O793" s="6"/>
    </row>
    <row r="794" spans="1:15">
      <c r="A794" s="3" t="str">
        <f t="shared" si="24"/>
        <v/>
      </c>
      <c r="B794" s="3"/>
      <c r="C794" s="22"/>
      <c r="D794" s="4" t="str">
        <f>IF(C794="","",IFERROR(VLOOKUP(C794,'Calibrated Tools Register'!B:C,2,FALSE),"NOT registered"))</f>
        <v/>
      </c>
      <c r="E794" s="3"/>
      <c r="F794" s="4"/>
      <c r="G794" s="3"/>
      <c r="H794" s="3" t="str">
        <f ca="1">IFERROR(VLOOKUP(C794,'Calibrated Tools Register'!B:M,12,FALSE)-TODAY(),"")</f>
        <v/>
      </c>
      <c r="I794" s="3" t="str">
        <f t="shared" ca="1" si="25"/>
        <v/>
      </c>
      <c r="J794" s="3"/>
      <c r="K794" s="4"/>
      <c r="L794" s="3"/>
      <c r="M794" s="4"/>
      <c r="N794" s="4"/>
      <c r="O794" s="4"/>
    </row>
    <row r="795" spans="1:15">
      <c r="A795" s="3" t="str">
        <f t="shared" si="24"/>
        <v/>
      </c>
      <c r="B795" s="5"/>
      <c r="C795" s="23"/>
      <c r="D795" s="4" t="str">
        <f>IF(C795="","",IFERROR(VLOOKUP(C795,'Calibrated Tools Register'!B:C,2,FALSE),"NOT registered"))</f>
        <v/>
      </c>
      <c r="E795" s="5"/>
      <c r="F795" s="6"/>
      <c r="G795" s="5"/>
      <c r="H795" s="5" t="str">
        <f ca="1">IFERROR(VLOOKUP(C795,'Calibrated Tools Register'!B:M,12,FALSE)-TODAY(),"")</f>
        <v/>
      </c>
      <c r="I795" s="3" t="str">
        <f t="shared" ca="1" si="25"/>
        <v/>
      </c>
      <c r="J795" s="5"/>
      <c r="K795" s="6"/>
      <c r="L795" s="5"/>
      <c r="M795" s="6"/>
      <c r="N795" s="6"/>
      <c r="O795" s="6"/>
    </row>
    <row r="796" spans="1:15">
      <c r="A796" s="3" t="str">
        <f t="shared" si="24"/>
        <v/>
      </c>
      <c r="B796" s="3"/>
      <c r="C796" s="22"/>
      <c r="D796" s="4" t="str">
        <f>IF(C796="","",IFERROR(VLOOKUP(C796,'Calibrated Tools Register'!B:C,2,FALSE),"NOT registered"))</f>
        <v/>
      </c>
      <c r="E796" s="3"/>
      <c r="F796" s="4"/>
      <c r="G796" s="3"/>
      <c r="H796" s="3" t="str">
        <f ca="1">IFERROR(VLOOKUP(C796,'Calibrated Tools Register'!B:M,12,FALSE)-TODAY(),"")</f>
        <v/>
      </c>
      <c r="I796" s="3" t="str">
        <f t="shared" ca="1" si="25"/>
        <v/>
      </c>
      <c r="J796" s="3"/>
      <c r="K796" s="4"/>
      <c r="L796" s="3"/>
      <c r="M796" s="4"/>
      <c r="N796" s="4"/>
      <c r="O796" s="4"/>
    </row>
    <row r="797" spans="1:15">
      <c r="A797" s="3" t="str">
        <f t="shared" si="24"/>
        <v/>
      </c>
      <c r="B797" s="5"/>
      <c r="C797" s="23"/>
      <c r="D797" s="4" t="str">
        <f>IF(C797="","",IFERROR(VLOOKUP(C797,'Calibrated Tools Register'!B:C,2,FALSE),"NOT registered"))</f>
        <v/>
      </c>
      <c r="E797" s="5"/>
      <c r="F797" s="6"/>
      <c r="G797" s="5"/>
      <c r="H797" s="5" t="str">
        <f ca="1">IFERROR(VLOOKUP(C797,'Calibrated Tools Register'!B:M,12,FALSE)-TODAY(),"")</f>
        <v/>
      </c>
      <c r="I797" s="3" t="str">
        <f t="shared" ca="1" si="25"/>
        <v/>
      </c>
      <c r="J797" s="5"/>
      <c r="K797" s="6"/>
      <c r="L797" s="5"/>
      <c r="M797" s="6"/>
      <c r="N797" s="6"/>
      <c r="O797" s="6"/>
    </row>
    <row r="798" spans="1:15">
      <c r="A798" s="3" t="str">
        <f t="shared" si="24"/>
        <v/>
      </c>
      <c r="B798" s="3"/>
      <c r="C798" s="22"/>
      <c r="D798" s="4" t="str">
        <f>IF(C798="","",IFERROR(VLOOKUP(C798,'Calibrated Tools Register'!B:C,2,FALSE),"NOT registered"))</f>
        <v/>
      </c>
      <c r="E798" s="3"/>
      <c r="F798" s="4"/>
      <c r="G798" s="3"/>
      <c r="H798" s="3" t="str">
        <f ca="1">IFERROR(VLOOKUP(C798,'Calibrated Tools Register'!B:M,12,FALSE)-TODAY(),"")</f>
        <v/>
      </c>
      <c r="I798" s="3" t="str">
        <f t="shared" ca="1" si="25"/>
        <v/>
      </c>
      <c r="J798" s="3"/>
      <c r="K798" s="4"/>
      <c r="L798" s="3"/>
      <c r="M798" s="4"/>
      <c r="N798" s="4"/>
      <c r="O798" s="4"/>
    </row>
    <row r="799" spans="1:15">
      <c r="A799" s="3" t="str">
        <f t="shared" si="24"/>
        <v/>
      </c>
      <c r="B799" s="5"/>
      <c r="C799" s="23"/>
      <c r="D799" s="4" t="str">
        <f>IF(C799="","",IFERROR(VLOOKUP(C799,'Calibrated Tools Register'!B:C,2,FALSE),"NOT registered"))</f>
        <v/>
      </c>
      <c r="E799" s="5"/>
      <c r="F799" s="6"/>
      <c r="G799" s="5"/>
      <c r="H799" s="5" t="str">
        <f ca="1">IFERROR(VLOOKUP(C799,'Calibrated Tools Register'!B:M,12,FALSE)-TODAY(),"")</f>
        <v/>
      </c>
      <c r="I799" s="3" t="str">
        <f t="shared" ca="1" si="25"/>
        <v/>
      </c>
      <c r="J799" s="5"/>
      <c r="K799" s="6"/>
      <c r="L799" s="5"/>
      <c r="M799" s="6"/>
      <c r="N799" s="6"/>
      <c r="O799" s="6"/>
    </row>
    <row r="800" spans="1:15">
      <c r="A800" s="3" t="str">
        <f t="shared" si="24"/>
        <v/>
      </c>
      <c r="B800" s="3"/>
      <c r="C800" s="22"/>
      <c r="D800" s="4" t="str">
        <f>IF(C800="","",IFERROR(VLOOKUP(C800,'Calibrated Tools Register'!B:C,2,FALSE),"NOT registered"))</f>
        <v/>
      </c>
      <c r="E800" s="3"/>
      <c r="F800" s="4"/>
      <c r="G800" s="3"/>
      <c r="H800" s="3" t="str">
        <f ca="1">IFERROR(VLOOKUP(C800,'Calibrated Tools Register'!B:M,12,FALSE)-TODAY(),"")</f>
        <v/>
      </c>
      <c r="I800" s="3" t="str">
        <f t="shared" ca="1" si="25"/>
        <v/>
      </c>
      <c r="J800" s="3"/>
      <c r="K800" s="4"/>
      <c r="L800" s="3"/>
      <c r="M800" s="4"/>
      <c r="N800" s="4"/>
      <c r="O800" s="4"/>
    </row>
    <row r="801" spans="1:15">
      <c r="A801" s="3" t="str">
        <f t="shared" si="24"/>
        <v/>
      </c>
      <c r="B801" s="5"/>
      <c r="C801" s="23"/>
      <c r="D801" s="4" t="str">
        <f>IF(C801="","",IFERROR(VLOOKUP(C801,'Calibrated Tools Register'!B:C,2,FALSE),"NOT registered"))</f>
        <v/>
      </c>
      <c r="E801" s="5"/>
      <c r="F801" s="6"/>
      <c r="G801" s="5"/>
      <c r="H801" s="5" t="str">
        <f ca="1">IFERROR(VLOOKUP(C801,'Calibrated Tools Register'!B:M,12,FALSE)-TODAY(),"")</f>
        <v/>
      </c>
      <c r="I801" s="3" t="str">
        <f t="shared" ca="1" si="25"/>
        <v/>
      </c>
      <c r="J801" s="5"/>
      <c r="K801" s="6"/>
      <c r="L801" s="5"/>
      <c r="M801" s="6"/>
      <c r="N801" s="6"/>
      <c r="O801" s="6"/>
    </row>
    <row r="802" spans="1:15">
      <c r="A802" s="3" t="str">
        <f t="shared" si="24"/>
        <v/>
      </c>
      <c r="B802" s="3"/>
      <c r="C802" s="22"/>
      <c r="D802" s="4" t="str">
        <f>IF(C802="","",IFERROR(VLOOKUP(C802,'Calibrated Tools Register'!B:C,2,FALSE),"NOT registered"))</f>
        <v/>
      </c>
      <c r="E802" s="3"/>
      <c r="F802" s="4"/>
      <c r="G802" s="3"/>
      <c r="H802" s="3" t="str">
        <f ca="1">IFERROR(VLOOKUP(C802,'Calibrated Tools Register'!B:M,12,FALSE)-TODAY(),"")</f>
        <v/>
      </c>
      <c r="I802" s="3" t="str">
        <f t="shared" ca="1" si="25"/>
        <v/>
      </c>
      <c r="J802" s="3"/>
      <c r="K802" s="4"/>
      <c r="L802" s="3"/>
      <c r="M802" s="4"/>
      <c r="N802" s="4"/>
      <c r="O802" s="4"/>
    </row>
    <row r="803" spans="1:15">
      <c r="A803" s="3" t="str">
        <f t="shared" si="24"/>
        <v/>
      </c>
      <c r="B803" s="5"/>
      <c r="C803" s="23"/>
      <c r="D803" s="4" t="str">
        <f>IF(C803="","",IFERROR(VLOOKUP(C803,'Calibrated Tools Register'!B:C,2,FALSE),"NOT registered"))</f>
        <v/>
      </c>
      <c r="E803" s="5"/>
      <c r="F803" s="6"/>
      <c r="G803" s="5"/>
      <c r="H803" s="5" t="str">
        <f ca="1">IFERROR(VLOOKUP(C803,'Calibrated Tools Register'!B:M,12,FALSE)-TODAY(),"")</f>
        <v/>
      </c>
      <c r="I803" s="3" t="str">
        <f t="shared" ca="1" si="25"/>
        <v/>
      </c>
      <c r="J803" s="5"/>
      <c r="K803" s="6"/>
      <c r="L803" s="5"/>
      <c r="M803" s="6"/>
      <c r="N803" s="6"/>
      <c r="O803" s="6"/>
    </row>
    <row r="804" spans="1:15">
      <c r="A804" s="3" t="str">
        <f t="shared" si="24"/>
        <v/>
      </c>
      <c r="B804" s="3"/>
      <c r="C804" s="22"/>
      <c r="D804" s="4" t="str">
        <f>IF(C804="","",IFERROR(VLOOKUP(C804,'Calibrated Tools Register'!B:C,2,FALSE),"NOT registered"))</f>
        <v/>
      </c>
      <c r="E804" s="3"/>
      <c r="F804" s="4"/>
      <c r="G804" s="3"/>
      <c r="H804" s="3" t="str">
        <f ca="1">IFERROR(VLOOKUP(C804,'Calibrated Tools Register'!B:M,12,FALSE)-TODAY(),"")</f>
        <v/>
      </c>
      <c r="I804" s="3" t="str">
        <f t="shared" ca="1" si="25"/>
        <v/>
      </c>
      <c r="J804" s="3"/>
      <c r="K804" s="4"/>
      <c r="L804" s="3"/>
      <c r="M804" s="4"/>
      <c r="N804" s="4"/>
      <c r="O804" s="4"/>
    </row>
    <row r="805" spans="1:15">
      <c r="A805" s="3" t="str">
        <f t="shared" si="24"/>
        <v/>
      </c>
      <c r="B805" s="5"/>
      <c r="C805" s="23"/>
      <c r="D805" s="4" t="str">
        <f>IF(C805="","",IFERROR(VLOOKUP(C805,'Calibrated Tools Register'!B:C,2,FALSE),"NOT registered"))</f>
        <v/>
      </c>
      <c r="E805" s="5"/>
      <c r="F805" s="6"/>
      <c r="G805" s="5"/>
      <c r="H805" s="5" t="str">
        <f ca="1">IFERROR(VLOOKUP(C805,'Calibrated Tools Register'!B:M,12,FALSE)-TODAY(),"")</f>
        <v/>
      </c>
      <c r="I805" s="3" t="str">
        <f t="shared" ca="1" si="25"/>
        <v/>
      </c>
      <c r="J805" s="5"/>
      <c r="K805" s="6"/>
      <c r="L805" s="5"/>
      <c r="M805" s="6"/>
      <c r="N805" s="6"/>
      <c r="O805" s="6"/>
    </row>
    <row r="806" spans="1:15">
      <c r="A806" s="3" t="str">
        <f t="shared" si="24"/>
        <v/>
      </c>
      <c r="B806" s="3"/>
      <c r="C806" s="22"/>
      <c r="D806" s="4" t="str">
        <f>IF(C806="","",IFERROR(VLOOKUP(C806,'Calibrated Tools Register'!B:C,2,FALSE),"NOT registered"))</f>
        <v/>
      </c>
      <c r="E806" s="3"/>
      <c r="F806" s="4"/>
      <c r="G806" s="3"/>
      <c r="H806" s="3" t="str">
        <f ca="1">IFERROR(VLOOKUP(C806,'Calibrated Tools Register'!B:M,12,FALSE)-TODAY(),"")</f>
        <v/>
      </c>
      <c r="I806" s="3" t="str">
        <f t="shared" ca="1" si="25"/>
        <v/>
      </c>
      <c r="J806" s="3"/>
      <c r="K806" s="4"/>
      <c r="L806" s="3"/>
      <c r="M806" s="4"/>
      <c r="N806" s="4"/>
      <c r="O806" s="4"/>
    </row>
    <row r="807" spans="1:15">
      <c r="A807" s="3" t="str">
        <f t="shared" si="24"/>
        <v/>
      </c>
      <c r="B807" s="5"/>
      <c r="C807" s="23"/>
      <c r="D807" s="4" t="str">
        <f>IF(C807="","",IFERROR(VLOOKUP(C807,'Calibrated Tools Register'!B:C,2,FALSE),"NOT registered"))</f>
        <v/>
      </c>
      <c r="E807" s="5"/>
      <c r="F807" s="6"/>
      <c r="G807" s="5"/>
      <c r="H807" s="5" t="str">
        <f ca="1">IFERROR(VLOOKUP(C807,'Calibrated Tools Register'!B:M,12,FALSE)-TODAY(),"")</f>
        <v/>
      </c>
      <c r="I807" s="3" t="str">
        <f t="shared" ca="1" si="25"/>
        <v/>
      </c>
      <c r="J807" s="5"/>
      <c r="K807" s="6"/>
      <c r="L807" s="5"/>
      <c r="M807" s="6"/>
      <c r="N807" s="6"/>
      <c r="O807" s="6"/>
    </row>
    <row r="808" spans="1:15">
      <c r="A808" s="3" t="str">
        <f t="shared" si="24"/>
        <v/>
      </c>
      <c r="B808" s="3"/>
      <c r="C808" s="22"/>
      <c r="D808" s="4" t="str">
        <f>IF(C808="","",IFERROR(VLOOKUP(C808,'Calibrated Tools Register'!B:C,2,FALSE),"NOT registered"))</f>
        <v/>
      </c>
      <c r="E808" s="3"/>
      <c r="F808" s="4"/>
      <c r="G808" s="3"/>
      <c r="H808" s="3" t="str">
        <f ca="1">IFERROR(VLOOKUP(C808,'Calibrated Tools Register'!B:M,12,FALSE)-TODAY(),"")</f>
        <v/>
      </c>
      <c r="I808" s="3" t="str">
        <f t="shared" ca="1" si="25"/>
        <v/>
      </c>
      <c r="J808" s="3"/>
      <c r="K808" s="4"/>
      <c r="L808" s="3"/>
      <c r="M808" s="4"/>
      <c r="N808" s="4"/>
      <c r="O808" s="4"/>
    </row>
    <row r="809" spans="1:15">
      <c r="A809" s="3" t="str">
        <f t="shared" si="24"/>
        <v/>
      </c>
      <c r="B809" s="5"/>
      <c r="C809" s="23"/>
      <c r="D809" s="4" t="str">
        <f>IF(C809="","",IFERROR(VLOOKUP(C809,'Calibrated Tools Register'!B:C,2,FALSE),"NOT registered"))</f>
        <v/>
      </c>
      <c r="E809" s="5"/>
      <c r="F809" s="6"/>
      <c r="G809" s="5"/>
      <c r="H809" s="5" t="str">
        <f ca="1">IFERROR(VLOOKUP(C809,'Calibrated Tools Register'!B:M,12,FALSE)-TODAY(),"")</f>
        <v/>
      </c>
      <c r="I809" s="3" t="str">
        <f t="shared" ca="1" si="25"/>
        <v/>
      </c>
      <c r="J809" s="5"/>
      <c r="K809" s="6"/>
      <c r="L809" s="5"/>
      <c r="M809" s="6"/>
      <c r="N809" s="6"/>
      <c r="O809" s="6"/>
    </row>
    <row r="810" spans="1:15">
      <c r="A810" s="3" t="str">
        <f t="shared" si="24"/>
        <v/>
      </c>
      <c r="B810" s="3"/>
      <c r="C810" s="22"/>
      <c r="D810" s="4" t="str">
        <f>IF(C810="","",IFERROR(VLOOKUP(C810,'Calibrated Tools Register'!B:C,2,FALSE),"NOT registered"))</f>
        <v/>
      </c>
      <c r="E810" s="3"/>
      <c r="F810" s="4"/>
      <c r="G810" s="3"/>
      <c r="H810" s="3" t="str">
        <f ca="1">IFERROR(VLOOKUP(C810,'Calibrated Tools Register'!B:M,12,FALSE)-TODAY(),"")</f>
        <v/>
      </c>
      <c r="I810" s="3" t="str">
        <f t="shared" ca="1" si="25"/>
        <v/>
      </c>
      <c r="J810" s="3"/>
      <c r="K810" s="4"/>
      <c r="L810" s="3"/>
      <c r="M810" s="4"/>
      <c r="N810" s="4"/>
      <c r="O810" s="4"/>
    </row>
    <row r="811" spans="1:15">
      <c r="A811" s="3" t="str">
        <f t="shared" si="24"/>
        <v/>
      </c>
      <c r="B811" s="5"/>
      <c r="C811" s="23"/>
      <c r="D811" s="4" t="str">
        <f>IF(C811="","",IFERROR(VLOOKUP(C811,'Calibrated Tools Register'!B:C,2,FALSE),"NOT registered"))</f>
        <v/>
      </c>
      <c r="E811" s="5"/>
      <c r="F811" s="6"/>
      <c r="G811" s="5"/>
      <c r="H811" s="5" t="str">
        <f ca="1">IFERROR(VLOOKUP(C811,'Calibrated Tools Register'!B:M,12,FALSE)-TODAY(),"")</f>
        <v/>
      </c>
      <c r="I811" s="3" t="str">
        <f t="shared" ca="1" si="25"/>
        <v/>
      </c>
      <c r="J811" s="5"/>
      <c r="K811" s="6"/>
      <c r="L811" s="5"/>
      <c r="M811" s="6"/>
      <c r="N811" s="6"/>
      <c r="O811" s="6"/>
    </row>
    <row r="812" spans="1:15">
      <c r="A812" s="3" t="str">
        <f t="shared" si="24"/>
        <v/>
      </c>
      <c r="B812" s="3"/>
      <c r="C812" s="22"/>
      <c r="D812" s="4" t="str">
        <f>IF(C812="","",IFERROR(VLOOKUP(C812,'Calibrated Tools Register'!B:C,2,FALSE),"NOT registered"))</f>
        <v/>
      </c>
      <c r="E812" s="3"/>
      <c r="F812" s="4"/>
      <c r="G812" s="3"/>
      <c r="H812" s="3" t="str">
        <f ca="1">IFERROR(VLOOKUP(C812,'Calibrated Tools Register'!B:M,12,FALSE)-TODAY(),"")</f>
        <v/>
      </c>
      <c r="I812" s="3" t="str">
        <f t="shared" ca="1" si="25"/>
        <v/>
      </c>
      <c r="J812" s="3"/>
      <c r="K812" s="4"/>
      <c r="L812" s="3"/>
      <c r="M812" s="4"/>
      <c r="N812" s="4"/>
      <c r="O812" s="4"/>
    </row>
    <row r="813" spans="1:15">
      <c r="A813" s="3" t="str">
        <f t="shared" si="24"/>
        <v/>
      </c>
      <c r="B813" s="5"/>
      <c r="C813" s="23"/>
      <c r="D813" s="4" t="str">
        <f>IF(C813="","",IFERROR(VLOOKUP(C813,'Calibrated Tools Register'!B:C,2,FALSE),"NOT registered"))</f>
        <v/>
      </c>
      <c r="E813" s="5"/>
      <c r="F813" s="6"/>
      <c r="G813" s="5"/>
      <c r="H813" s="5" t="str">
        <f ca="1">IFERROR(VLOOKUP(C813,'Calibrated Tools Register'!B:M,12,FALSE)-TODAY(),"")</f>
        <v/>
      </c>
      <c r="I813" s="3" t="str">
        <f t="shared" ca="1" si="25"/>
        <v/>
      </c>
      <c r="J813" s="5"/>
      <c r="K813" s="6"/>
      <c r="L813" s="5"/>
      <c r="M813" s="6"/>
      <c r="N813" s="6"/>
      <c r="O813" s="6"/>
    </row>
    <row r="814" spans="1:15">
      <c r="A814" s="3" t="str">
        <f t="shared" si="24"/>
        <v/>
      </c>
      <c r="B814" s="3"/>
      <c r="C814" s="22"/>
      <c r="D814" s="4" t="str">
        <f>IF(C814="","",IFERROR(VLOOKUP(C814,'Calibrated Tools Register'!B:C,2,FALSE),"NOT registered"))</f>
        <v/>
      </c>
      <c r="E814" s="3"/>
      <c r="F814" s="4"/>
      <c r="G814" s="3"/>
      <c r="H814" s="3" t="str">
        <f ca="1">IFERROR(VLOOKUP(C814,'Calibrated Tools Register'!B:M,12,FALSE)-TODAY(),"")</f>
        <v/>
      </c>
      <c r="I814" s="3" t="str">
        <f t="shared" ca="1" si="25"/>
        <v/>
      </c>
      <c r="J814" s="3"/>
      <c r="K814" s="4"/>
      <c r="L814" s="3"/>
      <c r="M814" s="4"/>
      <c r="N814" s="4"/>
      <c r="O814" s="4"/>
    </row>
    <row r="815" spans="1:15">
      <c r="A815" s="3" t="str">
        <f t="shared" si="24"/>
        <v/>
      </c>
      <c r="B815" s="5"/>
      <c r="C815" s="23"/>
      <c r="D815" s="4" t="str">
        <f>IF(C815="","",IFERROR(VLOOKUP(C815,'Calibrated Tools Register'!B:C,2,FALSE),"NOT registered"))</f>
        <v/>
      </c>
      <c r="E815" s="5"/>
      <c r="F815" s="6"/>
      <c r="G815" s="5"/>
      <c r="H815" s="5" t="str">
        <f ca="1">IFERROR(VLOOKUP(C815,'Calibrated Tools Register'!B:M,12,FALSE)-TODAY(),"")</f>
        <v/>
      </c>
      <c r="I815" s="3" t="str">
        <f t="shared" ca="1" si="25"/>
        <v/>
      </c>
      <c r="J815" s="5"/>
      <c r="K815" s="6"/>
      <c r="L815" s="5"/>
      <c r="M815" s="6"/>
      <c r="N815" s="6"/>
      <c r="O815" s="6"/>
    </row>
    <row r="816" spans="1:15">
      <c r="A816" s="3" t="str">
        <f t="shared" si="24"/>
        <v/>
      </c>
      <c r="B816" s="3"/>
      <c r="C816" s="22"/>
      <c r="D816" s="4" t="str">
        <f>IF(C816="","",IFERROR(VLOOKUP(C816,'Calibrated Tools Register'!B:C,2,FALSE),"NOT registered"))</f>
        <v/>
      </c>
      <c r="E816" s="3"/>
      <c r="F816" s="4"/>
      <c r="G816" s="3"/>
      <c r="H816" s="3" t="str">
        <f ca="1">IFERROR(VLOOKUP(C816,'Calibrated Tools Register'!B:M,12,FALSE)-TODAY(),"")</f>
        <v/>
      </c>
      <c r="I816" s="3" t="str">
        <f t="shared" ca="1" si="25"/>
        <v/>
      </c>
      <c r="J816" s="3"/>
      <c r="K816" s="4"/>
      <c r="L816" s="3"/>
      <c r="M816" s="4"/>
      <c r="N816" s="4"/>
      <c r="O816" s="4"/>
    </row>
    <row r="817" spans="1:15">
      <c r="A817" s="3" t="str">
        <f t="shared" si="24"/>
        <v/>
      </c>
      <c r="B817" s="5"/>
      <c r="C817" s="23"/>
      <c r="D817" s="4" t="str">
        <f>IF(C817="","",IFERROR(VLOOKUP(C817,'Calibrated Tools Register'!B:C,2,FALSE),"NOT registered"))</f>
        <v/>
      </c>
      <c r="E817" s="5"/>
      <c r="F817" s="6"/>
      <c r="G817" s="5"/>
      <c r="H817" s="5" t="str">
        <f ca="1">IFERROR(VLOOKUP(C817,'Calibrated Tools Register'!B:M,12,FALSE)-TODAY(),"")</f>
        <v/>
      </c>
      <c r="I817" s="3" t="str">
        <f t="shared" ca="1" si="25"/>
        <v/>
      </c>
      <c r="J817" s="5"/>
      <c r="K817" s="6"/>
      <c r="L817" s="5"/>
      <c r="M817" s="6"/>
      <c r="N817" s="6"/>
      <c r="O817" s="6"/>
    </row>
    <row r="818" spans="1:15">
      <c r="A818" s="3" t="str">
        <f t="shared" si="24"/>
        <v/>
      </c>
      <c r="B818" s="3"/>
      <c r="C818" s="22"/>
      <c r="D818" s="4" t="str">
        <f>IF(C818="","",IFERROR(VLOOKUP(C818,'Calibrated Tools Register'!B:C,2,FALSE),"NOT registered"))</f>
        <v/>
      </c>
      <c r="E818" s="3"/>
      <c r="F818" s="4"/>
      <c r="G818" s="3"/>
      <c r="H818" s="3" t="str">
        <f ca="1">IFERROR(VLOOKUP(C818,'Calibrated Tools Register'!B:M,12,FALSE)-TODAY(),"")</f>
        <v/>
      </c>
      <c r="I818" s="3" t="str">
        <f t="shared" ca="1" si="25"/>
        <v/>
      </c>
      <c r="J818" s="3"/>
      <c r="K818" s="4"/>
      <c r="L818" s="3"/>
      <c r="M818" s="4"/>
      <c r="N818" s="4"/>
      <c r="O818" s="4"/>
    </row>
    <row r="819" spans="1:15">
      <c r="A819" s="3" t="str">
        <f t="shared" si="24"/>
        <v/>
      </c>
      <c r="B819" s="5"/>
      <c r="C819" s="23"/>
      <c r="D819" s="4" t="str">
        <f>IF(C819="","",IFERROR(VLOOKUP(C819,'Calibrated Tools Register'!B:C,2,FALSE),"NOT registered"))</f>
        <v/>
      </c>
      <c r="E819" s="5"/>
      <c r="F819" s="6"/>
      <c r="G819" s="5"/>
      <c r="H819" s="5" t="str">
        <f ca="1">IFERROR(VLOOKUP(C819,'Calibrated Tools Register'!B:M,12,FALSE)-TODAY(),"")</f>
        <v/>
      </c>
      <c r="I819" s="3" t="str">
        <f t="shared" ca="1" si="25"/>
        <v/>
      </c>
      <c r="J819" s="5"/>
      <c r="K819" s="6"/>
      <c r="L819" s="5"/>
      <c r="M819" s="6"/>
      <c r="N819" s="6"/>
      <c r="O819" s="6"/>
    </row>
    <row r="820" spans="1:15">
      <c r="A820" s="3" t="str">
        <f t="shared" si="24"/>
        <v/>
      </c>
      <c r="B820" s="3"/>
      <c r="C820" s="22"/>
      <c r="D820" s="4" t="str">
        <f>IF(C820="","",IFERROR(VLOOKUP(C820,'Calibrated Tools Register'!B:C,2,FALSE),"NOT registered"))</f>
        <v/>
      </c>
      <c r="E820" s="3"/>
      <c r="F820" s="4"/>
      <c r="G820" s="3"/>
      <c r="H820" s="3" t="str">
        <f ca="1">IFERROR(VLOOKUP(C820,'Calibrated Tools Register'!B:M,12,FALSE)-TODAY(),"")</f>
        <v/>
      </c>
      <c r="I820" s="3" t="str">
        <f t="shared" ca="1" si="25"/>
        <v/>
      </c>
      <c r="J820" s="3"/>
      <c r="K820" s="4"/>
      <c r="L820" s="3"/>
      <c r="M820" s="4"/>
      <c r="N820" s="4"/>
      <c r="O820" s="4"/>
    </row>
    <row r="821" spans="1:15">
      <c r="A821" s="3" t="str">
        <f t="shared" si="24"/>
        <v/>
      </c>
      <c r="B821" s="5"/>
      <c r="C821" s="23"/>
      <c r="D821" s="4" t="str">
        <f>IF(C821="","",IFERROR(VLOOKUP(C821,'Calibrated Tools Register'!B:C,2,FALSE),"NOT registered"))</f>
        <v/>
      </c>
      <c r="E821" s="5"/>
      <c r="F821" s="6"/>
      <c r="G821" s="5"/>
      <c r="H821" s="5" t="str">
        <f ca="1">IFERROR(VLOOKUP(C821,'Calibrated Tools Register'!B:M,12,FALSE)-TODAY(),"")</f>
        <v/>
      </c>
      <c r="I821" s="3" t="str">
        <f t="shared" ca="1" si="25"/>
        <v/>
      </c>
      <c r="J821" s="5"/>
      <c r="K821" s="6"/>
      <c r="L821" s="5"/>
      <c r="M821" s="6"/>
      <c r="N821" s="6"/>
      <c r="O821" s="6"/>
    </row>
    <row r="822" spans="1:15">
      <c r="A822" s="3" t="str">
        <f t="shared" si="24"/>
        <v/>
      </c>
      <c r="B822" s="3"/>
      <c r="C822" s="22"/>
      <c r="D822" s="4" t="str">
        <f>IF(C822="","",IFERROR(VLOOKUP(C822,'Calibrated Tools Register'!B:C,2,FALSE),"NOT registered"))</f>
        <v/>
      </c>
      <c r="E822" s="3"/>
      <c r="F822" s="4"/>
      <c r="G822" s="3"/>
      <c r="H822" s="3" t="str">
        <f ca="1">IFERROR(VLOOKUP(C822,'Calibrated Tools Register'!B:M,12,FALSE)-TODAY(),"")</f>
        <v/>
      </c>
      <c r="I822" s="3" t="str">
        <f t="shared" ca="1" si="25"/>
        <v/>
      </c>
      <c r="J822" s="3"/>
      <c r="K822" s="4"/>
      <c r="L822" s="3"/>
      <c r="M822" s="4"/>
      <c r="N822" s="4"/>
      <c r="O822" s="4"/>
    </row>
    <row r="823" spans="1:15">
      <c r="A823" s="3" t="str">
        <f t="shared" si="24"/>
        <v/>
      </c>
      <c r="B823" s="5"/>
      <c r="C823" s="23"/>
      <c r="D823" s="4" t="str">
        <f>IF(C823="","",IFERROR(VLOOKUP(C823,'Calibrated Tools Register'!B:C,2,FALSE),"NOT registered"))</f>
        <v/>
      </c>
      <c r="E823" s="5"/>
      <c r="F823" s="6"/>
      <c r="G823" s="5"/>
      <c r="H823" s="5" t="str">
        <f ca="1">IFERROR(VLOOKUP(C823,'Calibrated Tools Register'!B:M,12,FALSE)-TODAY(),"")</f>
        <v/>
      </c>
      <c r="I823" s="3" t="str">
        <f t="shared" ca="1" si="25"/>
        <v/>
      </c>
      <c r="J823" s="5"/>
      <c r="K823" s="6"/>
      <c r="L823" s="5"/>
      <c r="M823" s="6"/>
      <c r="N823" s="6"/>
      <c r="O823" s="6"/>
    </row>
    <row r="824" spans="1:15">
      <c r="A824" s="3" t="str">
        <f t="shared" si="24"/>
        <v/>
      </c>
      <c r="B824" s="3"/>
      <c r="C824" s="22"/>
      <c r="D824" s="4" t="str">
        <f>IF(C824="","",IFERROR(VLOOKUP(C824,'Calibrated Tools Register'!B:C,2,FALSE),"NOT registered"))</f>
        <v/>
      </c>
      <c r="E824" s="3"/>
      <c r="F824" s="4"/>
      <c r="G824" s="3"/>
      <c r="H824" s="3" t="str">
        <f ca="1">IFERROR(VLOOKUP(C824,'Calibrated Tools Register'!B:M,12,FALSE)-TODAY(),"")</f>
        <v/>
      </c>
      <c r="I824" s="3" t="str">
        <f t="shared" ca="1" si="25"/>
        <v/>
      </c>
      <c r="J824" s="3"/>
      <c r="K824" s="4"/>
      <c r="L824" s="3"/>
      <c r="M824" s="4"/>
      <c r="N824" s="4"/>
      <c r="O824" s="4"/>
    </row>
    <row r="825" spans="1:15">
      <c r="A825" s="3" t="str">
        <f t="shared" si="24"/>
        <v/>
      </c>
      <c r="B825" s="5"/>
      <c r="C825" s="23"/>
      <c r="D825" s="4" t="str">
        <f>IF(C825="","",IFERROR(VLOOKUP(C825,'Calibrated Tools Register'!B:C,2,FALSE),"NOT registered"))</f>
        <v/>
      </c>
      <c r="E825" s="5"/>
      <c r="F825" s="6"/>
      <c r="G825" s="5"/>
      <c r="H825" s="5" t="str">
        <f ca="1">IFERROR(VLOOKUP(C825,'Calibrated Tools Register'!B:M,12,FALSE)-TODAY(),"")</f>
        <v/>
      </c>
      <c r="I825" s="3" t="str">
        <f t="shared" ca="1" si="25"/>
        <v/>
      </c>
      <c r="J825" s="5"/>
      <c r="K825" s="6"/>
      <c r="L825" s="5"/>
      <c r="M825" s="6"/>
      <c r="N825" s="6"/>
      <c r="O825" s="6"/>
    </row>
    <row r="826" spans="1:15">
      <c r="A826" s="3" t="str">
        <f t="shared" si="24"/>
        <v/>
      </c>
      <c r="B826" s="3"/>
      <c r="C826" s="22"/>
      <c r="D826" s="4" t="str">
        <f>IF(C826="","",IFERROR(VLOOKUP(C826,'Calibrated Tools Register'!B:C,2,FALSE),"NOT registered"))</f>
        <v/>
      </c>
      <c r="E826" s="3"/>
      <c r="F826" s="4"/>
      <c r="G826" s="3"/>
      <c r="H826" s="3" t="str">
        <f ca="1">IFERROR(VLOOKUP(C826,'Calibrated Tools Register'!B:M,12,FALSE)-TODAY(),"")</f>
        <v/>
      </c>
      <c r="I826" s="3" t="str">
        <f t="shared" ca="1" si="25"/>
        <v/>
      </c>
      <c r="J826" s="3"/>
      <c r="K826" s="4"/>
      <c r="L826" s="3"/>
      <c r="M826" s="4"/>
      <c r="N826" s="4"/>
      <c r="O826" s="4"/>
    </row>
    <row r="827" spans="1:15">
      <c r="A827" s="3" t="str">
        <f t="shared" si="24"/>
        <v/>
      </c>
      <c r="B827" s="5"/>
      <c r="C827" s="23"/>
      <c r="D827" s="4" t="str">
        <f>IF(C827="","",IFERROR(VLOOKUP(C827,'Calibrated Tools Register'!B:C,2,FALSE),"NOT registered"))</f>
        <v/>
      </c>
      <c r="E827" s="5"/>
      <c r="F827" s="6"/>
      <c r="G827" s="5"/>
      <c r="H827" s="5" t="str">
        <f ca="1">IFERROR(VLOOKUP(C827,'Calibrated Tools Register'!B:M,12,FALSE)-TODAY(),"")</f>
        <v/>
      </c>
      <c r="I827" s="3" t="str">
        <f t="shared" ca="1" si="25"/>
        <v/>
      </c>
      <c r="J827" s="5"/>
      <c r="K827" s="6"/>
      <c r="L827" s="5"/>
      <c r="M827" s="6"/>
      <c r="N827" s="6"/>
      <c r="O827" s="6"/>
    </row>
    <row r="828" spans="1:15">
      <c r="A828" s="3" t="str">
        <f t="shared" si="24"/>
        <v/>
      </c>
      <c r="B828" s="3"/>
      <c r="C828" s="22"/>
      <c r="D828" s="4" t="str">
        <f>IF(C828="","",IFERROR(VLOOKUP(C828,'Calibrated Tools Register'!B:C,2,FALSE),"NOT registered"))</f>
        <v/>
      </c>
      <c r="E828" s="3"/>
      <c r="F828" s="4"/>
      <c r="G828" s="3"/>
      <c r="H828" s="3" t="str">
        <f ca="1">IFERROR(VLOOKUP(C828,'Calibrated Tools Register'!B:M,12,FALSE)-TODAY(),"")</f>
        <v/>
      </c>
      <c r="I828" s="3" t="str">
        <f t="shared" ca="1" si="25"/>
        <v/>
      </c>
      <c r="J828" s="3"/>
      <c r="K828" s="4"/>
      <c r="L828" s="3"/>
      <c r="M828" s="4"/>
      <c r="N828" s="4"/>
      <c r="O828" s="4"/>
    </row>
    <row r="829" spans="1:15">
      <c r="A829" s="3" t="str">
        <f t="shared" si="24"/>
        <v/>
      </c>
      <c r="B829" s="5"/>
      <c r="C829" s="23"/>
      <c r="D829" s="4" t="str">
        <f>IF(C829="","",IFERROR(VLOOKUP(C829,'Calibrated Tools Register'!B:C,2,FALSE),"NOT registered"))</f>
        <v/>
      </c>
      <c r="E829" s="5"/>
      <c r="F829" s="6"/>
      <c r="G829" s="5"/>
      <c r="H829" s="5" t="str">
        <f ca="1">IFERROR(VLOOKUP(C829,'Calibrated Tools Register'!B:M,12,FALSE)-TODAY(),"")</f>
        <v/>
      </c>
      <c r="I829" s="3" t="str">
        <f t="shared" ca="1" si="25"/>
        <v/>
      </c>
      <c r="J829" s="5"/>
      <c r="K829" s="6"/>
      <c r="L829" s="5"/>
      <c r="M829" s="6"/>
      <c r="N829" s="6"/>
      <c r="O829" s="6"/>
    </row>
    <row r="830" spans="1:15">
      <c r="A830" s="3" t="str">
        <f t="shared" si="24"/>
        <v/>
      </c>
      <c r="B830" s="3"/>
      <c r="C830" s="22"/>
      <c r="D830" s="4" t="str">
        <f>IF(C830="","",IFERROR(VLOOKUP(C830,'Calibrated Tools Register'!B:C,2,FALSE),"NOT registered"))</f>
        <v/>
      </c>
      <c r="E830" s="3"/>
      <c r="F830" s="4"/>
      <c r="G830" s="3"/>
      <c r="H830" s="3" t="str">
        <f ca="1">IFERROR(VLOOKUP(C830,'Calibrated Tools Register'!B:M,12,FALSE)-TODAY(),"")</f>
        <v/>
      </c>
      <c r="I830" s="3" t="str">
        <f t="shared" ca="1" si="25"/>
        <v/>
      </c>
      <c r="J830" s="3"/>
      <c r="K830" s="4"/>
      <c r="L830" s="3"/>
      <c r="M830" s="4"/>
      <c r="N830" s="4"/>
      <c r="O830" s="4"/>
    </row>
    <row r="831" spans="1:15">
      <c r="A831" s="3" t="str">
        <f t="shared" si="24"/>
        <v/>
      </c>
      <c r="B831" s="5"/>
      <c r="C831" s="23"/>
      <c r="D831" s="4" t="str">
        <f>IF(C831="","",IFERROR(VLOOKUP(C831,'Calibrated Tools Register'!B:C,2,FALSE),"NOT registered"))</f>
        <v/>
      </c>
      <c r="E831" s="5"/>
      <c r="F831" s="6"/>
      <c r="G831" s="5"/>
      <c r="H831" s="5" t="str">
        <f ca="1">IFERROR(VLOOKUP(C831,'Calibrated Tools Register'!B:M,12,FALSE)-TODAY(),"")</f>
        <v/>
      </c>
      <c r="I831" s="3" t="str">
        <f t="shared" ca="1" si="25"/>
        <v/>
      </c>
      <c r="J831" s="5"/>
      <c r="K831" s="6"/>
      <c r="L831" s="5"/>
      <c r="M831" s="6"/>
      <c r="N831" s="6"/>
      <c r="O831" s="6"/>
    </row>
    <row r="832" spans="1:15">
      <c r="A832" s="3" t="str">
        <f t="shared" si="24"/>
        <v/>
      </c>
      <c r="B832" s="3"/>
      <c r="C832" s="22"/>
      <c r="D832" s="4" t="str">
        <f>IF(C832="","",IFERROR(VLOOKUP(C832,'Calibrated Tools Register'!B:C,2,FALSE),"NOT registered"))</f>
        <v/>
      </c>
      <c r="E832" s="3"/>
      <c r="F832" s="4"/>
      <c r="G832" s="3"/>
      <c r="H832" s="3" t="str">
        <f ca="1">IFERROR(VLOOKUP(C832,'Calibrated Tools Register'!B:M,12,FALSE)-TODAY(),"")</f>
        <v/>
      </c>
      <c r="I832" s="3" t="str">
        <f t="shared" ca="1" si="25"/>
        <v/>
      </c>
      <c r="J832" s="3"/>
      <c r="K832" s="4"/>
      <c r="L832" s="3"/>
      <c r="M832" s="4"/>
      <c r="N832" s="4"/>
      <c r="O832" s="4"/>
    </row>
    <row r="833" spans="1:15">
      <c r="A833" s="3" t="str">
        <f t="shared" si="24"/>
        <v/>
      </c>
      <c r="B833" s="5"/>
      <c r="C833" s="23"/>
      <c r="D833" s="4" t="str">
        <f>IF(C833="","",IFERROR(VLOOKUP(C833,'Calibrated Tools Register'!B:C,2,FALSE),"NOT registered"))</f>
        <v/>
      </c>
      <c r="E833" s="5"/>
      <c r="F833" s="6"/>
      <c r="G833" s="5"/>
      <c r="H833" s="5" t="str">
        <f ca="1">IFERROR(VLOOKUP(C833,'Calibrated Tools Register'!B:M,12,FALSE)-TODAY(),"")</f>
        <v/>
      </c>
      <c r="I833" s="3" t="str">
        <f t="shared" ca="1" si="25"/>
        <v/>
      </c>
      <c r="J833" s="5"/>
      <c r="K833" s="6"/>
      <c r="L833" s="5"/>
      <c r="M833" s="6"/>
      <c r="N833" s="6"/>
      <c r="O833" s="6"/>
    </row>
    <row r="834" spans="1:15">
      <c r="A834" s="3" t="str">
        <f t="shared" si="24"/>
        <v/>
      </c>
      <c r="B834" s="3"/>
      <c r="C834" s="22"/>
      <c r="D834" s="4" t="str">
        <f>IF(C834="","",IFERROR(VLOOKUP(C834,'Calibrated Tools Register'!B:C,2,FALSE),"NOT registered"))</f>
        <v/>
      </c>
      <c r="E834" s="3"/>
      <c r="F834" s="4"/>
      <c r="G834" s="3"/>
      <c r="H834" s="3" t="str">
        <f ca="1">IFERROR(VLOOKUP(C834,'Calibrated Tools Register'!B:M,12,FALSE)-TODAY(),"")</f>
        <v/>
      </c>
      <c r="I834" s="3" t="str">
        <f t="shared" ca="1" si="25"/>
        <v/>
      </c>
      <c r="J834" s="3"/>
      <c r="K834" s="4"/>
      <c r="L834" s="3"/>
      <c r="M834" s="4"/>
      <c r="N834" s="4"/>
      <c r="O834" s="4"/>
    </row>
    <row r="835" spans="1:15">
      <c r="A835" s="3" t="str">
        <f t="shared" si="24"/>
        <v/>
      </c>
      <c r="B835" s="5"/>
      <c r="C835" s="23"/>
      <c r="D835" s="4" t="str">
        <f>IF(C835="","",IFERROR(VLOOKUP(C835,'Calibrated Tools Register'!B:C,2,FALSE),"NOT registered"))</f>
        <v/>
      </c>
      <c r="E835" s="5"/>
      <c r="F835" s="6"/>
      <c r="G835" s="5"/>
      <c r="H835" s="5" t="str">
        <f ca="1">IFERROR(VLOOKUP(C835,'Calibrated Tools Register'!B:M,12,FALSE)-TODAY(),"")</f>
        <v/>
      </c>
      <c r="I835" s="3" t="str">
        <f t="shared" ca="1" si="25"/>
        <v/>
      </c>
      <c r="J835" s="5"/>
      <c r="K835" s="6"/>
      <c r="L835" s="5"/>
      <c r="M835" s="6"/>
      <c r="N835" s="6"/>
      <c r="O835" s="6"/>
    </row>
    <row r="836" spans="1:15">
      <c r="A836" s="3" t="str">
        <f t="shared" ref="A836:A899" si="26">IF(C836="","",ROW(C836)-3)</f>
        <v/>
      </c>
      <c r="B836" s="3"/>
      <c r="C836" s="22"/>
      <c r="D836" s="4" t="str">
        <f>IF(C836="","",IFERROR(VLOOKUP(C836,'Calibrated Tools Register'!B:C,2,FALSE),"NOT registered"))</f>
        <v/>
      </c>
      <c r="E836" s="3"/>
      <c r="F836" s="4"/>
      <c r="G836" s="3"/>
      <c r="H836" s="3" t="str">
        <f ca="1">IFERROR(VLOOKUP(C836,'Calibrated Tools Register'!B:M,12,FALSE)-TODAY(),"")</f>
        <v/>
      </c>
      <c r="I836" s="3" t="str">
        <f t="shared" ca="1" si="25"/>
        <v/>
      </c>
      <c r="J836" s="3"/>
      <c r="K836" s="4"/>
      <c r="L836" s="3"/>
      <c r="M836" s="4"/>
      <c r="N836" s="4"/>
      <c r="O836" s="4"/>
    </row>
    <row r="837" spans="1:15">
      <c r="A837" s="3" t="str">
        <f t="shared" si="26"/>
        <v/>
      </c>
      <c r="B837" s="5"/>
      <c r="C837" s="23"/>
      <c r="D837" s="4" t="str">
        <f>IF(C837="","",IFERROR(VLOOKUP(C837,'Calibrated Tools Register'!B:C,2,FALSE),"NOT registered"))</f>
        <v/>
      </c>
      <c r="E837" s="5"/>
      <c r="F837" s="6"/>
      <c r="G837" s="5"/>
      <c r="H837" s="5" t="str">
        <f ca="1">IFERROR(VLOOKUP(C837,'Calibrated Tools Register'!B:M,12,FALSE)-TODAY(),"")</f>
        <v/>
      </c>
      <c r="I837" s="3" t="str">
        <f t="shared" ref="I837:I900" ca="1" si="27">IF(H837="","",IF(H837&lt;=0,"Urgent",IF(H837&lt;=30,"High",IF(H837&lt;=45,"Medium","Low"))))</f>
        <v/>
      </c>
      <c r="J837" s="5"/>
      <c r="K837" s="6"/>
      <c r="L837" s="5"/>
      <c r="M837" s="6"/>
      <c r="N837" s="6"/>
      <c r="O837" s="6"/>
    </row>
    <row r="838" spans="1:15">
      <c r="A838" s="3" t="str">
        <f t="shared" si="26"/>
        <v/>
      </c>
      <c r="B838" s="3"/>
      <c r="C838" s="22"/>
      <c r="D838" s="4" t="str">
        <f>IF(C838="","",IFERROR(VLOOKUP(C838,'Calibrated Tools Register'!B:C,2,FALSE),"NOT registered"))</f>
        <v/>
      </c>
      <c r="E838" s="3"/>
      <c r="F838" s="4"/>
      <c r="G838" s="3"/>
      <c r="H838" s="3" t="str">
        <f ca="1">IFERROR(VLOOKUP(C838,'Calibrated Tools Register'!B:M,12,FALSE)-TODAY(),"")</f>
        <v/>
      </c>
      <c r="I838" s="3" t="str">
        <f t="shared" ca="1" si="27"/>
        <v/>
      </c>
      <c r="J838" s="3"/>
      <c r="K838" s="4"/>
      <c r="L838" s="3"/>
      <c r="M838" s="4"/>
      <c r="N838" s="4"/>
      <c r="O838" s="4"/>
    </row>
    <row r="839" spans="1:15">
      <c r="A839" s="3" t="str">
        <f t="shared" si="26"/>
        <v/>
      </c>
      <c r="B839" s="5"/>
      <c r="C839" s="23"/>
      <c r="D839" s="4" t="str">
        <f>IF(C839="","",IFERROR(VLOOKUP(C839,'Calibrated Tools Register'!B:C,2,FALSE),"NOT registered"))</f>
        <v/>
      </c>
      <c r="E839" s="5"/>
      <c r="F839" s="6"/>
      <c r="G839" s="5"/>
      <c r="H839" s="5" t="str">
        <f ca="1">IFERROR(VLOOKUP(C839,'Calibrated Tools Register'!B:M,12,FALSE)-TODAY(),"")</f>
        <v/>
      </c>
      <c r="I839" s="3" t="str">
        <f t="shared" ca="1" si="27"/>
        <v/>
      </c>
      <c r="J839" s="5"/>
      <c r="K839" s="6"/>
      <c r="L839" s="5"/>
      <c r="M839" s="6"/>
      <c r="N839" s="6"/>
      <c r="O839" s="6"/>
    </row>
    <row r="840" spans="1:15">
      <c r="A840" s="3" t="str">
        <f t="shared" si="26"/>
        <v/>
      </c>
      <c r="B840" s="3"/>
      <c r="C840" s="22"/>
      <c r="D840" s="4" t="str">
        <f>IF(C840="","",IFERROR(VLOOKUP(C840,'Calibrated Tools Register'!B:C,2,FALSE),"NOT registered"))</f>
        <v/>
      </c>
      <c r="E840" s="3"/>
      <c r="F840" s="4"/>
      <c r="G840" s="3"/>
      <c r="H840" s="3" t="str">
        <f ca="1">IFERROR(VLOOKUP(C840,'Calibrated Tools Register'!B:M,12,FALSE)-TODAY(),"")</f>
        <v/>
      </c>
      <c r="I840" s="3" t="str">
        <f t="shared" ca="1" si="27"/>
        <v/>
      </c>
      <c r="J840" s="3"/>
      <c r="K840" s="4"/>
      <c r="L840" s="3"/>
      <c r="M840" s="4"/>
      <c r="N840" s="4"/>
      <c r="O840" s="4"/>
    </row>
    <row r="841" spans="1:15">
      <c r="A841" s="3" t="str">
        <f t="shared" si="26"/>
        <v/>
      </c>
      <c r="B841" s="5"/>
      <c r="C841" s="23"/>
      <c r="D841" s="4" t="str">
        <f>IF(C841="","",IFERROR(VLOOKUP(C841,'Calibrated Tools Register'!B:C,2,FALSE),"NOT registered"))</f>
        <v/>
      </c>
      <c r="E841" s="5"/>
      <c r="F841" s="6"/>
      <c r="G841" s="5"/>
      <c r="H841" s="5" t="str">
        <f ca="1">IFERROR(VLOOKUP(C841,'Calibrated Tools Register'!B:M,12,FALSE)-TODAY(),"")</f>
        <v/>
      </c>
      <c r="I841" s="3" t="str">
        <f t="shared" ca="1" si="27"/>
        <v/>
      </c>
      <c r="J841" s="5"/>
      <c r="K841" s="6"/>
      <c r="L841" s="5"/>
      <c r="M841" s="6"/>
      <c r="N841" s="6"/>
      <c r="O841" s="6"/>
    </row>
    <row r="842" spans="1:15">
      <c r="A842" s="3" t="str">
        <f t="shared" si="26"/>
        <v/>
      </c>
      <c r="B842" s="3"/>
      <c r="C842" s="22"/>
      <c r="D842" s="4" t="str">
        <f>IF(C842="","",IFERROR(VLOOKUP(C842,'Calibrated Tools Register'!B:C,2,FALSE),"NOT registered"))</f>
        <v/>
      </c>
      <c r="E842" s="3"/>
      <c r="F842" s="4"/>
      <c r="G842" s="3"/>
      <c r="H842" s="3" t="str">
        <f ca="1">IFERROR(VLOOKUP(C842,'Calibrated Tools Register'!B:M,12,FALSE)-TODAY(),"")</f>
        <v/>
      </c>
      <c r="I842" s="3" t="str">
        <f t="shared" ca="1" si="27"/>
        <v/>
      </c>
      <c r="J842" s="3"/>
      <c r="K842" s="4"/>
      <c r="L842" s="3"/>
      <c r="M842" s="4"/>
      <c r="N842" s="4"/>
      <c r="O842" s="4"/>
    </row>
    <row r="843" spans="1:15">
      <c r="A843" s="3" t="str">
        <f t="shared" si="26"/>
        <v/>
      </c>
      <c r="B843" s="5"/>
      <c r="C843" s="23"/>
      <c r="D843" s="4" t="str">
        <f>IF(C843="","",IFERROR(VLOOKUP(C843,'Calibrated Tools Register'!B:C,2,FALSE),"NOT registered"))</f>
        <v/>
      </c>
      <c r="E843" s="5"/>
      <c r="F843" s="6"/>
      <c r="G843" s="5"/>
      <c r="H843" s="5" t="str">
        <f ca="1">IFERROR(VLOOKUP(C843,'Calibrated Tools Register'!B:M,12,FALSE)-TODAY(),"")</f>
        <v/>
      </c>
      <c r="I843" s="3" t="str">
        <f t="shared" ca="1" si="27"/>
        <v/>
      </c>
      <c r="J843" s="5"/>
      <c r="K843" s="6"/>
      <c r="L843" s="5"/>
      <c r="M843" s="6"/>
      <c r="N843" s="6"/>
      <c r="O843" s="6"/>
    </row>
    <row r="844" spans="1:15">
      <c r="A844" s="3" t="str">
        <f t="shared" si="26"/>
        <v/>
      </c>
      <c r="B844" s="3"/>
      <c r="C844" s="22"/>
      <c r="D844" s="4" t="str">
        <f>IF(C844="","",IFERROR(VLOOKUP(C844,'Calibrated Tools Register'!B:C,2,FALSE),"NOT registered"))</f>
        <v/>
      </c>
      <c r="E844" s="3"/>
      <c r="F844" s="4"/>
      <c r="G844" s="3"/>
      <c r="H844" s="3" t="str">
        <f ca="1">IFERROR(VLOOKUP(C844,'Calibrated Tools Register'!B:M,12,FALSE)-TODAY(),"")</f>
        <v/>
      </c>
      <c r="I844" s="3" t="str">
        <f t="shared" ca="1" si="27"/>
        <v/>
      </c>
      <c r="J844" s="3"/>
      <c r="K844" s="4"/>
      <c r="L844" s="3"/>
      <c r="M844" s="4"/>
      <c r="N844" s="4"/>
      <c r="O844" s="4"/>
    </row>
    <row r="845" spans="1:15">
      <c r="A845" s="3" t="str">
        <f t="shared" si="26"/>
        <v/>
      </c>
      <c r="B845" s="5"/>
      <c r="C845" s="23"/>
      <c r="D845" s="4" t="str">
        <f>IF(C845="","",IFERROR(VLOOKUP(C845,'Calibrated Tools Register'!B:C,2,FALSE),"NOT registered"))</f>
        <v/>
      </c>
      <c r="E845" s="5"/>
      <c r="F845" s="6"/>
      <c r="G845" s="5"/>
      <c r="H845" s="5" t="str">
        <f ca="1">IFERROR(VLOOKUP(C845,'Calibrated Tools Register'!B:M,12,FALSE)-TODAY(),"")</f>
        <v/>
      </c>
      <c r="I845" s="3" t="str">
        <f t="shared" ca="1" si="27"/>
        <v/>
      </c>
      <c r="J845" s="5"/>
      <c r="K845" s="6"/>
      <c r="L845" s="5"/>
      <c r="M845" s="6"/>
      <c r="N845" s="6"/>
      <c r="O845" s="6"/>
    </row>
    <row r="846" spans="1:15">
      <c r="A846" s="3" t="str">
        <f t="shared" si="26"/>
        <v/>
      </c>
      <c r="B846" s="3"/>
      <c r="C846" s="22"/>
      <c r="D846" s="4" t="str">
        <f>IF(C846="","",IFERROR(VLOOKUP(C846,'Calibrated Tools Register'!B:C,2,FALSE),"NOT registered"))</f>
        <v/>
      </c>
      <c r="E846" s="3"/>
      <c r="F846" s="4"/>
      <c r="G846" s="3"/>
      <c r="H846" s="3" t="str">
        <f ca="1">IFERROR(VLOOKUP(C846,'Calibrated Tools Register'!B:M,12,FALSE)-TODAY(),"")</f>
        <v/>
      </c>
      <c r="I846" s="3" t="str">
        <f t="shared" ca="1" si="27"/>
        <v/>
      </c>
      <c r="J846" s="3"/>
      <c r="K846" s="4"/>
      <c r="L846" s="3"/>
      <c r="M846" s="4"/>
      <c r="N846" s="4"/>
      <c r="O846" s="4"/>
    </row>
    <row r="847" spans="1:15">
      <c r="A847" s="3" t="str">
        <f t="shared" si="26"/>
        <v/>
      </c>
      <c r="B847" s="5"/>
      <c r="C847" s="23"/>
      <c r="D847" s="4" t="str">
        <f>IF(C847="","",IFERROR(VLOOKUP(C847,'Calibrated Tools Register'!B:C,2,FALSE),"NOT registered"))</f>
        <v/>
      </c>
      <c r="E847" s="5"/>
      <c r="F847" s="6"/>
      <c r="G847" s="5"/>
      <c r="H847" s="5" t="str">
        <f ca="1">IFERROR(VLOOKUP(C847,'Calibrated Tools Register'!B:M,12,FALSE)-TODAY(),"")</f>
        <v/>
      </c>
      <c r="I847" s="3" t="str">
        <f t="shared" ca="1" si="27"/>
        <v/>
      </c>
      <c r="J847" s="5"/>
      <c r="K847" s="6"/>
      <c r="L847" s="5"/>
      <c r="M847" s="6"/>
      <c r="N847" s="6"/>
      <c r="O847" s="6"/>
    </row>
    <row r="848" spans="1:15">
      <c r="A848" s="3" t="str">
        <f t="shared" si="26"/>
        <v/>
      </c>
      <c r="B848" s="3"/>
      <c r="C848" s="22"/>
      <c r="D848" s="4" t="str">
        <f>IF(C848="","",IFERROR(VLOOKUP(C848,'Calibrated Tools Register'!B:C,2,FALSE),"NOT registered"))</f>
        <v/>
      </c>
      <c r="E848" s="3"/>
      <c r="F848" s="4"/>
      <c r="G848" s="3"/>
      <c r="H848" s="3" t="str">
        <f ca="1">IFERROR(VLOOKUP(C848,'Calibrated Tools Register'!B:M,12,FALSE)-TODAY(),"")</f>
        <v/>
      </c>
      <c r="I848" s="3" t="str">
        <f t="shared" ca="1" si="27"/>
        <v/>
      </c>
      <c r="J848" s="3"/>
      <c r="K848" s="4"/>
      <c r="L848" s="3"/>
      <c r="M848" s="4"/>
      <c r="N848" s="4"/>
      <c r="O848" s="4"/>
    </row>
    <row r="849" spans="1:15">
      <c r="A849" s="3" t="str">
        <f t="shared" si="26"/>
        <v/>
      </c>
      <c r="B849" s="5"/>
      <c r="C849" s="23"/>
      <c r="D849" s="4" t="str">
        <f>IF(C849="","",IFERROR(VLOOKUP(C849,'Calibrated Tools Register'!B:C,2,FALSE),"NOT registered"))</f>
        <v/>
      </c>
      <c r="E849" s="5"/>
      <c r="F849" s="6"/>
      <c r="G849" s="5"/>
      <c r="H849" s="5" t="str">
        <f ca="1">IFERROR(VLOOKUP(C849,'Calibrated Tools Register'!B:M,12,FALSE)-TODAY(),"")</f>
        <v/>
      </c>
      <c r="I849" s="3" t="str">
        <f t="shared" ca="1" si="27"/>
        <v/>
      </c>
      <c r="J849" s="5"/>
      <c r="K849" s="6"/>
      <c r="L849" s="5"/>
      <c r="M849" s="6"/>
      <c r="N849" s="6"/>
      <c r="O849" s="6"/>
    </row>
    <row r="850" spans="1:15">
      <c r="A850" s="3" t="str">
        <f t="shared" si="26"/>
        <v/>
      </c>
      <c r="B850" s="3"/>
      <c r="C850" s="22"/>
      <c r="D850" s="4" t="str">
        <f>IF(C850="","",IFERROR(VLOOKUP(C850,'Calibrated Tools Register'!B:C,2,FALSE),"NOT registered"))</f>
        <v/>
      </c>
      <c r="E850" s="3"/>
      <c r="F850" s="4"/>
      <c r="G850" s="3"/>
      <c r="H850" s="3" t="str">
        <f ca="1">IFERROR(VLOOKUP(C850,'Calibrated Tools Register'!B:M,12,FALSE)-TODAY(),"")</f>
        <v/>
      </c>
      <c r="I850" s="3" t="str">
        <f t="shared" ca="1" si="27"/>
        <v/>
      </c>
      <c r="J850" s="3"/>
      <c r="K850" s="4"/>
      <c r="L850" s="3"/>
      <c r="M850" s="4"/>
      <c r="N850" s="4"/>
      <c r="O850" s="4"/>
    </row>
    <row r="851" spans="1:15">
      <c r="A851" s="3" t="str">
        <f t="shared" si="26"/>
        <v/>
      </c>
      <c r="B851" s="5"/>
      <c r="C851" s="23"/>
      <c r="D851" s="4" t="str">
        <f>IF(C851="","",IFERROR(VLOOKUP(C851,'Calibrated Tools Register'!B:C,2,FALSE),"NOT registered"))</f>
        <v/>
      </c>
      <c r="E851" s="5"/>
      <c r="F851" s="6"/>
      <c r="G851" s="5"/>
      <c r="H851" s="5" t="str">
        <f ca="1">IFERROR(VLOOKUP(C851,'Calibrated Tools Register'!B:M,12,FALSE)-TODAY(),"")</f>
        <v/>
      </c>
      <c r="I851" s="3" t="str">
        <f t="shared" ca="1" si="27"/>
        <v/>
      </c>
      <c r="J851" s="5"/>
      <c r="K851" s="6"/>
      <c r="L851" s="5"/>
      <c r="M851" s="6"/>
      <c r="N851" s="6"/>
      <c r="O851" s="6"/>
    </row>
    <row r="852" spans="1:15">
      <c r="A852" s="3" t="str">
        <f t="shared" si="26"/>
        <v/>
      </c>
      <c r="B852" s="3"/>
      <c r="C852" s="22"/>
      <c r="D852" s="4" t="str">
        <f>IF(C852="","",IFERROR(VLOOKUP(C852,'Calibrated Tools Register'!B:C,2,FALSE),"NOT registered"))</f>
        <v/>
      </c>
      <c r="E852" s="3"/>
      <c r="F852" s="4"/>
      <c r="G852" s="3"/>
      <c r="H852" s="3" t="str">
        <f ca="1">IFERROR(VLOOKUP(C852,'Calibrated Tools Register'!B:M,12,FALSE)-TODAY(),"")</f>
        <v/>
      </c>
      <c r="I852" s="3" t="str">
        <f t="shared" ca="1" si="27"/>
        <v/>
      </c>
      <c r="J852" s="3"/>
      <c r="K852" s="4"/>
      <c r="L852" s="3"/>
      <c r="M852" s="4"/>
      <c r="N852" s="4"/>
      <c r="O852" s="4"/>
    </row>
    <row r="853" spans="1:15">
      <c r="A853" s="3" t="str">
        <f t="shared" si="26"/>
        <v/>
      </c>
      <c r="B853" s="5"/>
      <c r="C853" s="23"/>
      <c r="D853" s="4" t="str">
        <f>IF(C853="","",IFERROR(VLOOKUP(C853,'Calibrated Tools Register'!B:C,2,FALSE),"NOT registered"))</f>
        <v/>
      </c>
      <c r="E853" s="5"/>
      <c r="F853" s="6"/>
      <c r="G853" s="5"/>
      <c r="H853" s="5" t="str">
        <f ca="1">IFERROR(VLOOKUP(C853,'Calibrated Tools Register'!B:M,12,FALSE)-TODAY(),"")</f>
        <v/>
      </c>
      <c r="I853" s="3" t="str">
        <f t="shared" ca="1" si="27"/>
        <v/>
      </c>
      <c r="J853" s="5"/>
      <c r="K853" s="6"/>
      <c r="L853" s="5"/>
      <c r="M853" s="6"/>
      <c r="N853" s="6"/>
      <c r="O853" s="6"/>
    </row>
    <row r="854" spans="1:15">
      <c r="A854" s="3" t="str">
        <f t="shared" si="26"/>
        <v/>
      </c>
      <c r="B854" s="3"/>
      <c r="C854" s="22"/>
      <c r="D854" s="4" t="str">
        <f>IF(C854="","",IFERROR(VLOOKUP(C854,'Calibrated Tools Register'!B:C,2,FALSE),"NOT registered"))</f>
        <v/>
      </c>
      <c r="E854" s="3"/>
      <c r="F854" s="4"/>
      <c r="G854" s="3"/>
      <c r="H854" s="3" t="str">
        <f ca="1">IFERROR(VLOOKUP(C854,'Calibrated Tools Register'!B:M,12,FALSE)-TODAY(),"")</f>
        <v/>
      </c>
      <c r="I854" s="3" t="str">
        <f t="shared" ca="1" si="27"/>
        <v/>
      </c>
      <c r="J854" s="3"/>
      <c r="K854" s="4"/>
      <c r="L854" s="3"/>
      <c r="M854" s="4"/>
      <c r="N854" s="4"/>
      <c r="O854" s="4"/>
    </row>
    <row r="855" spans="1:15">
      <c r="A855" s="3" t="str">
        <f t="shared" si="26"/>
        <v/>
      </c>
      <c r="B855" s="5"/>
      <c r="C855" s="23"/>
      <c r="D855" s="4" t="str">
        <f>IF(C855="","",IFERROR(VLOOKUP(C855,'Calibrated Tools Register'!B:C,2,FALSE),"NOT registered"))</f>
        <v/>
      </c>
      <c r="E855" s="5"/>
      <c r="F855" s="6"/>
      <c r="G855" s="5"/>
      <c r="H855" s="5" t="str">
        <f ca="1">IFERROR(VLOOKUP(C855,'Calibrated Tools Register'!B:M,12,FALSE)-TODAY(),"")</f>
        <v/>
      </c>
      <c r="I855" s="3" t="str">
        <f t="shared" ca="1" si="27"/>
        <v/>
      </c>
      <c r="J855" s="5"/>
      <c r="K855" s="6"/>
      <c r="L855" s="5"/>
      <c r="M855" s="6"/>
      <c r="N855" s="6"/>
      <c r="O855" s="6"/>
    </row>
    <row r="856" spans="1:15">
      <c r="A856" s="3" t="str">
        <f t="shared" si="26"/>
        <v/>
      </c>
      <c r="B856" s="3"/>
      <c r="C856" s="22"/>
      <c r="D856" s="4" t="str">
        <f>IF(C856="","",IFERROR(VLOOKUP(C856,'Calibrated Tools Register'!B:C,2,FALSE),"NOT registered"))</f>
        <v/>
      </c>
      <c r="E856" s="3"/>
      <c r="F856" s="4"/>
      <c r="G856" s="3"/>
      <c r="H856" s="3" t="str">
        <f ca="1">IFERROR(VLOOKUP(C856,'Calibrated Tools Register'!B:M,12,FALSE)-TODAY(),"")</f>
        <v/>
      </c>
      <c r="I856" s="3" t="str">
        <f t="shared" ca="1" si="27"/>
        <v/>
      </c>
      <c r="J856" s="3"/>
      <c r="K856" s="4"/>
      <c r="L856" s="3"/>
      <c r="M856" s="4"/>
      <c r="N856" s="4"/>
      <c r="O856" s="4"/>
    </row>
    <row r="857" spans="1:15">
      <c r="A857" s="3" t="str">
        <f t="shared" si="26"/>
        <v/>
      </c>
      <c r="B857" s="5"/>
      <c r="C857" s="23"/>
      <c r="D857" s="4" t="str">
        <f>IF(C857="","",IFERROR(VLOOKUP(C857,'Calibrated Tools Register'!B:C,2,FALSE),"NOT registered"))</f>
        <v/>
      </c>
      <c r="E857" s="5"/>
      <c r="F857" s="6"/>
      <c r="G857" s="5"/>
      <c r="H857" s="5" t="str">
        <f ca="1">IFERROR(VLOOKUP(C857,'Calibrated Tools Register'!B:M,12,FALSE)-TODAY(),"")</f>
        <v/>
      </c>
      <c r="I857" s="3" t="str">
        <f t="shared" ca="1" si="27"/>
        <v/>
      </c>
      <c r="J857" s="5"/>
      <c r="K857" s="6"/>
      <c r="L857" s="5"/>
      <c r="M857" s="6"/>
      <c r="N857" s="6"/>
      <c r="O857" s="6"/>
    </row>
    <row r="858" spans="1:15">
      <c r="A858" s="3" t="str">
        <f t="shared" si="26"/>
        <v/>
      </c>
      <c r="B858" s="3"/>
      <c r="C858" s="22"/>
      <c r="D858" s="4" t="str">
        <f>IF(C858="","",IFERROR(VLOOKUP(C858,'Calibrated Tools Register'!B:C,2,FALSE),"NOT registered"))</f>
        <v/>
      </c>
      <c r="E858" s="3"/>
      <c r="F858" s="4"/>
      <c r="G858" s="3"/>
      <c r="H858" s="3" t="str">
        <f ca="1">IFERROR(VLOOKUP(C858,'Calibrated Tools Register'!B:M,12,FALSE)-TODAY(),"")</f>
        <v/>
      </c>
      <c r="I858" s="3" t="str">
        <f t="shared" ca="1" si="27"/>
        <v/>
      </c>
      <c r="J858" s="3"/>
      <c r="K858" s="4"/>
      <c r="L858" s="3"/>
      <c r="M858" s="4"/>
      <c r="N858" s="4"/>
      <c r="O858" s="4"/>
    </row>
    <row r="859" spans="1:15">
      <c r="A859" s="3" t="str">
        <f t="shared" si="26"/>
        <v/>
      </c>
      <c r="B859" s="5"/>
      <c r="C859" s="23"/>
      <c r="D859" s="4" t="str">
        <f>IF(C859="","",IFERROR(VLOOKUP(C859,'Calibrated Tools Register'!B:C,2,FALSE),"NOT registered"))</f>
        <v/>
      </c>
      <c r="E859" s="5"/>
      <c r="F859" s="6"/>
      <c r="G859" s="5"/>
      <c r="H859" s="5" t="str">
        <f ca="1">IFERROR(VLOOKUP(C859,'Calibrated Tools Register'!B:M,12,FALSE)-TODAY(),"")</f>
        <v/>
      </c>
      <c r="I859" s="3" t="str">
        <f t="shared" ca="1" si="27"/>
        <v/>
      </c>
      <c r="J859" s="5"/>
      <c r="K859" s="6"/>
      <c r="L859" s="5"/>
      <c r="M859" s="6"/>
      <c r="N859" s="6"/>
      <c r="O859" s="6"/>
    </row>
    <row r="860" spans="1:15">
      <c r="A860" s="3" t="str">
        <f t="shared" si="26"/>
        <v/>
      </c>
      <c r="B860" s="3"/>
      <c r="C860" s="22"/>
      <c r="D860" s="4" t="str">
        <f>IF(C860="","",IFERROR(VLOOKUP(C860,'Calibrated Tools Register'!B:C,2,FALSE),"NOT registered"))</f>
        <v/>
      </c>
      <c r="E860" s="3"/>
      <c r="F860" s="4"/>
      <c r="G860" s="3"/>
      <c r="H860" s="3" t="str">
        <f ca="1">IFERROR(VLOOKUP(C860,'Calibrated Tools Register'!B:M,12,FALSE)-TODAY(),"")</f>
        <v/>
      </c>
      <c r="I860" s="3" t="str">
        <f t="shared" ca="1" si="27"/>
        <v/>
      </c>
      <c r="J860" s="3"/>
      <c r="K860" s="4"/>
      <c r="L860" s="3"/>
      <c r="M860" s="4"/>
      <c r="N860" s="4"/>
      <c r="O860" s="4"/>
    </row>
    <row r="861" spans="1:15">
      <c r="A861" s="3" t="str">
        <f t="shared" si="26"/>
        <v/>
      </c>
      <c r="B861" s="5"/>
      <c r="C861" s="23"/>
      <c r="D861" s="4" t="str">
        <f>IF(C861="","",IFERROR(VLOOKUP(C861,'Calibrated Tools Register'!B:C,2,FALSE),"NOT registered"))</f>
        <v/>
      </c>
      <c r="E861" s="5"/>
      <c r="F861" s="6"/>
      <c r="G861" s="5"/>
      <c r="H861" s="5" t="str">
        <f ca="1">IFERROR(VLOOKUP(C861,'Calibrated Tools Register'!B:M,12,FALSE)-TODAY(),"")</f>
        <v/>
      </c>
      <c r="I861" s="3" t="str">
        <f t="shared" ca="1" si="27"/>
        <v/>
      </c>
      <c r="J861" s="5"/>
      <c r="K861" s="6"/>
      <c r="L861" s="5"/>
      <c r="M861" s="6"/>
      <c r="N861" s="6"/>
      <c r="O861" s="6"/>
    </row>
    <row r="862" spans="1:15">
      <c r="A862" s="3" t="str">
        <f t="shared" si="26"/>
        <v/>
      </c>
      <c r="B862" s="3"/>
      <c r="C862" s="22"/>
      <c r="D862" s="4" t="str">
        <f>IF(C862="","",IFERROR(VLOOKUP(C862,'Calibrated Tools Register'!B:C,2,FALSE),"NOT registered"))</f>
        <v/>
      </c>
      <c r="E862" s="3"/>
      <c r="F862" s="4"/>
      <c r="G862" s="3"/>
      <c r="H862" s="3" t="str">
        <f ca="1">IFERROR(VLOOKUP(C862,'Calibrated Tools Register'!B:M,12,FALSE)-TODAY(),"")</f>
        <v/>
      </c>
      <c r="I862" s="3" t="str">
        <f t="shared" ca="1" si="27"/>
        <v/>
      </c>
      <c r="J862" s="3"/>
      <c r="K862" s="4"/>
      <c r="L862" s="3"/>
      <c r="M862" s="4"/>
      <c r="N862" s="4"/>
      <c r="O862" s="4"/>
    </row>
    <row r="863" spans="1:15">
      <c r="A863" s="3" t="str">
        <f t="shared" si="26"/>
        <v/>
      </c>
      <c r="B863" s="5"/>
      <c r="C863" s="23"/>
      <c r="D863" s="4" t="str">
        <f>IF(C863="","",IFERROR(VLOOKUP(C863,'Calibrated Tools Register'!B:C,2,FALSE),"NOT registered"))</f>
        <v/>
      </c>
      <c r="E863" s="5"/>
      <c r="F863" s="6"/>
      <c r="G863" s="5"/>
      <c r="H863" s="5" t="str">
        <f ca="1">IFERROR(VLOOKUP(C863,'Calibrated Tools Register'!B:M,12,FALSE)-TODAY(),"")</f>
        <v/>
      </c>
      <c r="I863" s="3" t="str">
        <f t="shared" ca="1" si="27"/>
        <v/>
      </c>
      <c r="J863" s="5"/>
      <c r="K863" s="6"/>
      <c r="L863" s="5"/>
      <c r="M863" s="6"/>
      <c r="N863" s="6"/>
      <c r="O863" s="6"/>
    </row>
    <row r="864" spans="1:15">
      <c r="A864" s="3" t="str">
        <f t="shared" si="26"/>
        <v/>
      </c>
      <c r="B864" s="3"/>
      <c r="C864" s="22"/>
      <c r="D864" s="4" t="str">
        <f>IF(C864="","",IFERROR(VLOOKUP(C864,'Calibrated Tools Register'!B:C,2,FALSE),"NOT registered"))</f>
        <v/>
      </c>
      <c r="E864" s="3"/>
      <c r="F864" s="4"/>
      <c r="G864" s="3"/>
      <c r="H864" s="3" t="str">
        <f ca="1">IFERROR(VLOOKUP(C864,'Calibrated Tools Register'!B:M,12,FALSE)-TODAY(),"")</f>
        <v/>
      </c>
      <c r="I864" s="3" t="str">
        <f t="shared" ca="1" si="27"/>
        <v/>
      </c>
      <c r="J864" s="3"/>
      <c r="K864" s="4"/>
      <c r="L864" s="3"/>
      <c r="M864" s="4"/>
      <c r="N864" s="4"/>
      <c r="O864" s="4"/>
    </row>
    <row r="865" spans="1:15">
      <c r="A865" s="3" t="str">
        <f t="shared" si="26"/>
        <v/>
      </c>
      <c r="B865" s="5"/>
      <c r="C865" s="23"/>
      <c r="D865" s="4" t="str">
        <f>IF(C865="","",IFERROR(VLOOKUP(C865,'Calibrated Tools Register'!B:C,2,FALSE),"NOT registered"))</f>
        <v/>
      </c>
      <c r="E865" s="5"/>
      <c r="F865" s="6"/>
      <c r="G865" s="5"/>
      <c r="H865" s="5" t="str">
        <f ca="1">IFERROR(VLOOKUP(C865,'Calibrated Tools Register'!B:M,12,FALSE)-TODAY(),"")</f>
        <v/>
      </c>
      <c r="I865" s="3" t="str">
        <f t="shared" ca="1" si="27"/>
        <v/>
      </c>
      <c r="J865" s="5"/>
      <c r="K865" s="6"/>
      <c r="L865" s="5"/>
      <c r="M865" s="6"/>
      <c r="N865" s="6"/>
      <c r="O865" s="6"/>
    </row>
    <row r="866" spans="1:15">
      <c r="A866" s="3" t="str">
        <f t="shared" si="26"/>
        <v/>
      </c>
      <c r="B866" s="3"/>
      <c r="C866" s="22"/>
      <c r="D866" s="4" t="str">
        <f>IF(C866="","",IFERROR(VLOOKUP(C866,'Calibrated Tools Register'!B:C,2,FALSE),"NOT registered"))</f>
        <v/>
      </c>
      <c r="E866" s="3"/>
      <c r="F866" s="4"/>
      <c r="G866" s="3"/>
      <c r="H866" s="3" t="str">
        <f ca="1">IFERROR(VLOOKUP(C866,'Calibrated Tools Register'!B:M,12,FALSE)-TODAY(),"")</f>
        <v/>
      </c>
      <c r="I866" s="3" t="str">
        <f t="shared" ca="1" si="27"/>
        <v/>
      </c>
      <c r="J866" s="3"/>
      <c r="K866" s="4"/>
      <c r="L866" s="3"/>
      <c r="M866" s="4"/>
      <c r="N866" s="4"/>
      <c r="O866" s="4"/>
    </row>
    <row r="867" spans="1:15">
      <c r="A867" s="3" t="str">
        <f t="shared" si="26"/>
        <v/>
      </c>
      <c r="B867" s="5"/>
      <c r="C867" s="23"/>
      <c r="D867" s="4" t="str">
        <f>IF(C867="","",IFERROR(VLOOKUP(C867,'Calibrated Tools Register'!B:C,2,FALSE),"NOT registered"))</f>
        <v/>
      </c>
      <c r="E867" s="5"/>
      <c r="F867" s="6"/>
      <c r="G867" s="5"/>
      <c r="H867" s="5" t="str">
        <f ca="1">IFERROR(VLOOKUP(C867,'Calibrated Tools Register'!B:M,12,FALSE)-TODAY(),"")</f>
        <v/>
      </c>
      <c r="I867" s="3" t="str">
        <f t="shared" ca="1" si="27"/>
        <v/>
      </c>
      <c r="J867" s="5"/>
      <c r="K867" s="6"/>
      <c r="L867" s="5"/>
      <c r="M867" s="6"/>
      <c r="N867" s="6"/>
      <c r="O867" s="6"/>
    </row>
    <row r="868" spans="1:15">
      <c r="A868" s="3" t="str">
        <f t="shared" si="26"/>
        <v/>
      </c>
      <c r="B868" s="3"/>
      <c r="C868" s="22"/>
      <c r="D868" s="4" t="str">
        <f>IF(C868="","",IFERROR(VLOOKUP(C868,'Calibrated Tools Register'!B:C,2,FALSE),"NOT registered"))</f>
        <v/>
      </c>
      <c r="E868" s="3"/>
      <c r="F868" s="4"/>
      <c r="G868" s="3"/>
      <c r="H868" s="3" t="str">
        <f ca="1">IFERROR(VLOOKUP(C868,'Calibrated Tools Register'!B:M,12,FALSE)-TODAY(),"")</f>
        <v/>
      </c>
      <c r="I868" s="3" t="str">
        <f t="shared" ca="1" si="27"/>
        <v/>
      </c>
      <c r="J868" s="3"/>
      <c r="K868" s="4"/>
      <c r="L868" s="3"/>
      <c r="M868" s="4"/>
      <c r="N868" s="4"/>
      <c r="O868" s="4"/>
    </row>
    <row r="869" spans="1:15">
      <c r="A869" s="3" t="str">
        <f t="shared" si="26"/>
        <v/>
      </c>
      <c r="B869" s="5"/>
      <c r="C869" s="23"/>
      <c r="D869" s="4" t="str">
        <f>IF(C869="","",IFERROR(VLOOKUP(C869,'Calibrated Tools Register'!B:C,2,FALSE),"NOT registered"))</f>
        <v/>
      </c>
      <c r="E869" s="5"/>
      <c r="F869" s="6"/>
      <c r="G869" s="5"/>
      <c r="H869" s="5" t="str">
        <f ca="1">IFERROR(VLOOKUP(C869,'Calibrated Tools Register'!B:M,12,FALSE)-TODAY(),"")</f>
        <v/>
      </c>
      <c r="I869" s="3" t="str">
        <f t="shared" ca="1" si="27"/>
        <v/>
      </c>
      <c r="J869" s="5"/>
      <c r="K869" s="6"/>
      <c r="L869" s="5"/>
      <c r="M869" s="6"/>
      <c r="N869" s="6"/>
      <c r="O869" s="6"/>
    </row>
    <row r="870" spans="1:15">
      <c r="A870" s="3" t="str">
        <f t="shared" si="26"/>
        <v/>
      </c>
      <c r="B870" s="3"/>
      <c r="C870" s="22"/>
      <c r="D870" s="4" t="str">
        <f>IF(C870="","",IFERROR(VLOOKUP(C870,'Calibrated Tools Register'!B:C,2,FALSE),"NOT registered"))</f>
        <v/>
      </c>
      <c r="E870" s="3"/>
      <c r="F870" s="4"/>
      <c r="G870" s="3"/>
      <c r="H870" s="3" t="str">
        <f ca="1">IFERROR(VLOOKUP(C870,'Calibrated Tools Register'!B:M,12,FALSE)-TODAY(),"")</f>
        <v/>
      </c>
      <c r="I870" s="3" t="str">
        <f t="shared" ca="1" si="27"/>
        <v/>
      </c>
      <c r="J870" s="3"/>
      <c r="K870" s="4"/>
      <c r="L870" s="3"/>
      <c r="M870" s="4"/>
      <c r="N870" s="4"/>
      <c r="O870" s="4"/>
    </row>
    <row r="871" spans="1:15">
      <c r="A871" s="3" t="str">
        <f t="shared" si="26"/>
        <v/>
      </c>
      <c r="B871" s="5"/>
      <c r="C871" s="23"/>
      <c r="D871" s="4" t="str">
        <f>IF(C871="","",IFERROR(VLOOKUP(C871,'Calibrated Tools Register'!B:C,2,FALSE),"NOT registered"))</f>
        <v/>
      </c>
      <c r="E871" s="5"/>
      <c r="F871" s="6"/>
      <c r="G871" s="5"/>
      <c r="H871" s="5" t="str">
        <f ca="1">IFERROR(VLOOKUP(C871,'Calibrated Tools Register'!B:M,12,FALSE)-TODAY(),"")</f>
        <v/>
      </c>
      <c r="I871" s="3" t="str">
        <f t="shared" ca="1" si="27"/>
        <v/>
      </c>
      <c r="J871" s="5"/>
      <c r="K871" s="6"/>
      <c r="L871" s="5"/>
      <c r="M871" s="6"/>
      <c r="N871" s="6"/>
      <c r="O871" s="6"/>
    </row>
    <row r="872" spans="1:15">
      <c r="A872" s="3" t="str">
        <f t="shared" si="26"/>
        <v/>
      </c>
      <c r="B872" s="3"/>
      <c r="C872" s="22"/>
      <c r="D872" s="4" t="str">
        <f>IF(C872="","",IFERROR(VLOOKUP(C872,'Calibrated Tools Register'!B:C,2,FALSE),"NOT registered"))</f>
        <v/>
      </c>
      <c r="E872" s="3"/>
      <c r="F872" s="4"/>
      <c r="G872" s="3"/>
      <c r="H872" s="3" t="str">
        <f ca="1">IFERROR(VLOOKUP(C872,'Calibrated Tools Register'!B:M,12,FALSE)-TODAY(),"")</f>
        <v/>
      </c>
      <c r="I872" s="3" t="str">
        <f t="shared" ca="1" si="27"/>
        <v/>
      </c>
      <c r="J872" s="3"/>
      <c r="K872" s="4"/>
      <c r="L872" s="3"/>
      <c r="M872" s="4"/>
      <c r="N872" s="4"/>
      <c r="O872" s="4"/>
    </row>
    <row r="873" spans="1:15">
      <c r="A873" s="3" t="str">
        <f t="shared" si="26"/>
        <v/>
      </c>
      <c r="B873" s="5"/>
      <c r="C873" s="23"/>
      <c r="D873" s="4" t="str">
        <f>IF(C873="","",IFERROR(VLOOKUP(C873,'Calibrated Tools Register'!B:C,2,FALSE),"NOT registered"))</f>
        <v/>
      </c>
      <c r="E873" s="5"/>
      <c r="F873" s="6"/>
      <c r="G873" s="5"/>
      <c r="H873" s="5" t="str">
        <f ca="1">IFERROR(VLOOKUP(C873,'Calibrated Tools Register'!B:M,12,FALSE)-TODAY(),"")</f>
        <v/>
      </c>
      <c r="I873" s="3" t="str">
        <f t="shared" ca="1" si="27"/>
        <v/>
      </c>
      <c r="J873" s="5"/>
      <c r="K873" s="6"/>
      <c r="L873" s="5"/>
      <c r="M873" s="6"/>
      <c r="N873" s="6"/>
      <c r="O873" s="6"/>
    </row>
    <row r="874" spans="1:15">
      <c r="A874" s="3" t="str">
        <f t="shared" si="26"/>
        <v/>
      </c>
      <c r="B874" s="3"/>
      <c r="C874" s="22"/>
      <c r="D874" s="4" t="str">
        <f>IF(C874="","",IFERROR(VLOOKUP(C874,'Calibrated Tools Register'!B:C,2,FALSE),"NOT registered"))</f>
        <v/>
      </c>
      <c r="E874" s="3"/>
      <c r="F874" s="4"/>
      <c r="G874" s="3"/>
      <c r="H874" s="3" t="str">
        <f ca="1">IFERROR(VLOOKUP(C874,'Calibrated Tools Register'!B:M,12,FALSE)-TODAY(),"")</f>
        <v/>
      </c>
      <c r="I874" s="3" t="str">
        <f t="shared" ca="1" si="27"/>
        <v/>
      </c>
      <c r="J874" s="3"/>
      <c r="K874" s="4"/>
      <c r="L874" s="3"/>
      <c r="M874" s="4"/>
      <c r="N874" s="4"/>
      <c r="O874" s="4"/>
    </row>
    <row r="875" spans="1:15">
      <c r="A875" s="3" t="str">
        <f t="shared" si="26"/>
        <v/>
      </c>
      <c r="B875" s="5"/>
      <c r="C875" s="23"/>
      <c r="D875" s="4" t="str">
        <f>IF(C875="","",IFERROR(VLOOKUP(C875,'Calibrated Tools Register'!B:C,2,FALSE),"NOT registered"))</f>
        <v/>
      </c>
      <c r="E875" s="5"/>
      <c r="F875" s="6"/>
      <c r="G875" s="5"/>
      <c r="H875" s="5" t="str">
        <f ca="1">IFERROR(VLOOKUP(C875,'Calibrated Tools Register'!B:M,12,FALSE)-TODAY(),"")</f>
        <v/>
      </c>
      <c r="I875" s="3" t="str">
        <f t="shared" ca="1" si="27"/>
        <v/>
      </c>
      <c r="J875" s="5"/>
      <c r="K875" s="6"/>
      <c r="L875" s="5"/>
      <c r="M875" s="6"/>
      <c r="N875" s="6"/>
      <c r="O875" s="6"/>
    </row>
    <row r="876" spans="1:15">
      <c r="A876" s="3" t="str">
        <f t="shared" si="26"/>
        <v/>
      </c>
      <c r="B876" s="3"/>
      <c r="C876" s="22"/>
      <c r="D876" s="4" t="str">
        <f>IF(C876="","",IFERROR(VLOOKUP(C876,'Calibrated Tools Register'!B:C,2,FALSE),"NOT registered"))</f>
        <v/>
      </c>
      <c r="E876" s="3"/>
      <c r="F876" s="4"/>
      <c r="G876" s="3"/>
      <c r="H876" s="3" t="str">
        <f ca="1">IFERROR(VLOOKUP(C876,'Calibrated Tools Register'!B:M,12,FALSE)-TODAY(),"")</f>
        <v/>
      </c>
      <c r="I876" s="3" t="str">
        <f t="shared" ca="1" si="27"/>
        <v/>
      </c>
      <c r="J876" s="3"/>
      <c r="K876" s="4"/>
      <c r="L876" s="3"/>
      <c r="M876" s="4"/>
      <c r="N876" s="4"/>
      <c r="O876" s="4"/>
    </row>
    <row r="877" spans="1:15">
      <c r="A877" s="3" t="str">
        <f t="shared" si="26"/>
        <v/>
      </c>
      <c r="B877" s="5"/>
      <c r="C877" s="23"/>
      <c r="D877" s="4" t="str">
        <f>IF(C877="","",IFERROR(VLOOKUP(C877,'Calibrated Tools Register'!B:C,2,FALSE),"NOT registered"))</f>
        <v/>
      </c>
      <c r="E877" s="5"/>
      <c r="F877" s="6"/>
      <c r="G877" s="5"/>
      <c r="H877" s="5" t="str">
        <f ca="1">IFERROR(VLOOKUP(C877,'Calibrated Tools Register'!B:M,12,FALSE)-TODAY(),"")</f>
        <v/>
      </c>
      <c r="I877" s="3" t="str">
        <f t="shared" ca="1" si="27"/>
        <v/>
      </c>
      <c r="J877" s="5"/>
      <c r="K877" s="6"/>
      <c r="L877" s="5"/>
      <c r="M877" s="6"/>
      <c r="N877" s="6"/>
      <c r="O877" s="6"/>
    </row>
    <row r="878" spans="1:15">
      <c r="A878" s="3" t="str">
        <f t="shared" si="26"/>
        <v/>
      </c>
      <c r="B878" s="3"/>
      <c r="C878" s="22"/>
      <c r="D878" s="4" t="str">
        <f>IF(C878="","",IFERROR(VLOOKUP(C878,'Calibrated Tools Register'!B:C,2,FALSE),"NOT registered"))</f>
        <v/>
      </c>
      <c r="E878" s="3"/>
      <c r="F878" s="4"/>
      <c r="G878" s="3"/>
      <c r="H878" s="3" t="str">
        <f ca="1">IFERROR(VLOOKUP(C878,'Calibrated Tools Register'!B:M,12,FALSE)-TODAY(),"")</f>
        <v/>
      </c>
      <c r="I878" s="3" t="str">
        <f t="shared" ca="1" si="27"/>
        <v/>
      </c>
      <c r="J878" s="3"/>
      <c r="K878" s="4"/>
      <c r="L878" s="3"/>
      <c r="M878" s="4"/>
      <c r="N878" s="4"/>
      <c r="O878" s="4"/>
    </row>
    <row r="879" spans="1:15">
      <c r="A879" s="3" t="str">
        <f t="shared" si="26"/>
        <v/>
      </c>
      <c r="B879" s="5"/>
      <c r="C879" s="23"/>
      <c r="D879" s="4" t="str">
        <f>IF(C879="","",IFERROR(VLOOKUP(C879,'Calibrated Tools Register'!B:C,2,FALSE),"NOT registered"))</f>
        <v/>
      </c>
      <c r="E879" s="5"/>
      <c r="F879" s="6"/>
      <c r="G879" s="5"/>
      <c r="H879" s="5" t="str">
        <f ca="1">IFERROR(VLOOKUP(C879,'Calibrated Tools Register'!B:M,12,FALSE)-TODAY(),"")</f>
        <v/>
      </c>
      <c r="I879" s="3" t="str">
        <f t="shared" ca="1" si="27"/>
        <v/>
      </c>
      <c r="J879" s="5"/>
      <c r="K879" s="6"/>
      <c r="L879" s="5"/>
      <c r="M879" s="6"/>
      <c r="N879" s="6"/>
      <c r="O879" s="6"/>
    </row>
    <row r="880" spans="1:15">
      <c r="A880" s="3" t="str">
        <f t="shared" si="26"/>
        <v/>
      </c>
      <c r="B880" s="3"/>
      <c r="C880" s="22"/>
      <c r="D880" s="4" t="str">
        <f>IF(C880="","",IFERROR(VLOOKUP(C880,'Calibrated Tools Register'!B:C,2,FALSE),"NOT registered"))</f>
        <v/>
      </c>
      <c r="E880" s="3"/>
      <c r="F880" s="4"/>
      <c r="G880" s="3"/>
      <c r="H880" s="3" t="str">
        <f ca="1">IFERROR(VLOOKUP(C880,'Calibrated Tools Register'!B:M,12,FALSE)-TODAY(),"")</f>
        <v/>
      </c>
      <c r="I880" s="3" t="str">
        <f t="shared" ca="1" si="27"/>
        <v/>
      </c>
      <c r="J880" s="3"/>
      <c r="K880" s="4"/>
      <c r="L880" s="3"/>
      <c r="M880" s="4"/>
      <c r="N880" s="4"/>
      <c r="O880" s="4"/>
    </row>
    <row r="881" spans="1:15">
      <c r="A881" s="3" t="str">
        <f t="shared" si="26"/>
        <v/>
      </c>
      <c r="B881" s="5"/>
      <c r="C881" s="23"/>
      <c r="D881" s="4" t="str">
        <f>IF(C881="","",IFERROR(VLOOKUP(C881,'Calibrated Tools Register'!B:C,2,FALSE),"NOT registered"))</f>
        <v/>
      </c>
      <c r="E881" s="5"/>
      <c r="F881" s="6"/>
      <c r="G881" s="5"/>
      <c r="H881" s="5" t="str">
        <f ca="1">IFERROR(VLOOKUP(C881,'Calibrated Tools Register'!B:M,12,FALSE)-TODAY(),"")</f>
        <v/>
      </c>
      <c r="I881" s="3" t="str">
        <f t="shared" ca="1" si="27"/>
        <v/>
      </c>
      <c r="J881" s="5"/>
      <c r="K881" s="6"/>
      <c r="L881" s="5"/>
      <c r="M881" s="6"/>
      <c r="N881" s="6"/>
      <c r="O881" s="6"/>
    </row>
    <row r="882" spans="1:15">
      <c r="A882" s="3" t="str">
        <f t="shared" si="26"/>
        <v/>
      </c>
      <c r="B882" s="3"/>
      <c r="C882" s="22"/>
      <c r="D882" s="4" t="str">
        <f>IF(C882="","",IFERROR(VLOOKUP(C882,'Calibrated Tools Register'!B:C,2,FALSE),"NOT registered"))</f>
        <v/>
      </c>
      <c r="E882" s="3"/>
      <c r="F882" s="4"/>
      <c r="G882" s="3"/>
      <c r="H882" s="3" t="str">
        <f ca="1">IFERROR(VLOOKUP(C882,'Calibrated Tools Register'!B:M,12,FALSE)-TODAY(),"")</f>
        <v/>
      </c>
      <c r="I882" s="3" t="str">
        <f t="shared" ca="1" si="27"/>
        <v/>
      </c>
      <c r="J882" s="3"/>
      <c r="K882" s="4"/>
      <c r="L882" s="3"/>
      <c r="M882" s="4"/>
      <c r="N882" s="4"/>
      <c r="O882" s="4"/>
    </row>
    <row r="883" spans="1:15">
      <c r="A883" s="3" t="str">
        <f t="shared" si="26"/>
        <v/>
      </c>
      <c r="B883" s="5"/>
      <c r="C883" s="23"/>
      <c r="D883" s="4" t="str">
        <f>IF(C883="","",IFERROR(VLOOKUP(C883,'Calibrated Tools Register'!B:C,2,FALSE),"NOT registered"))</f>
        <v/>
      </c>
      <c r="E883" s="5"/>
      <c r="F883" s="6"/>
      <c r="G883" s="5"/>
      <c r="H883" s="5" t="str">
        <f ca="1">IFERROR(VLOOKUP(C883,'Calibrated Tools Register'!B:M,12,FALSE)-TODAY(),"")</f>
        <v/>
      </c>
      <c r="I883" s="3" t="str">
        <f t="shared" ca="1" si="27"/>
        <v/>
      </c>
      <c r="J883" s="5"/>
      <c r="K883" s="6"/>
      <c r="L883" s="5"/>
      <c r="M883" s="6"/>
      <c r="N883" s="6"/>
      <c r="O883" s="6"/>
    </row>
    <row r="884" spans="1:15">
      <c r="A884" s="3" t="str">
        <f t="shared" si="26"/>
        <v/>
      </c>
      <c r="B884" s="3"/>
      <c r="C884" s="22"/>
      <c r="D884" s="4" t="str">
        <f>IF(C884="","",IFERROR(VLOOKUP(C884,'Calibrated Tools Register'!B:C,2,FALSE),"NOT registered"))</f>
        <v/>
      </c>
      <c r="E884" s="3"/>
      <c r="F884" s="4"/>
      <c r="G884" s="3"/>
      <c r="H884" s="3" t="str">
        <f ca="1">IFERROR(VLOOKUP(C884,'Calibrated Tools Register'!B:M,12,FALSE)-TODAY(),"")</f>
        <v/>
      </c>
      <c r="I884" s="3" t="str">
        <f t="shared" ca="1" si="27"/>
        <v/>
      </c>
      <c r="J884" s="3"/>
      <c r="K884" s="4"/>
      <c r="L884" s="3"/>
      <c r="M884" s="4"/>
      <c r="N884" s="4"/>
      <c r="O884" s="4"/>
    </row>
    <row r="885" spans="1:15">
      <c r="A885" s="3" t="str">
        <f t="shared" si="26"/>
        <v/>
      </c>
      <c r="B885" s="5"/>
      <c r="C885" s="23"/>
      <c r="D885" s="4" t="str">
        <f>IF(C885="","",IFERROR(VLOOKUP(C885,'Calibrated Tools Register'!B:C,2,FALSE),"NOT registered"))</f>
        <v/>
      </c>
      <c r="E885" s="5"/>
      <c r="F885" s="6"/>
      <c r="G885" s="5"/>
      <c r="H885" s="5" t="str">
        <f ca="1">IFERROR(VLOOKUP(C885,'Calibrated Tools Register'!B:M,12,FALSE)-TODAY(),"")</f>
        <v/>
      </c>
      <c r="I885" s="3" t="str">
        <f t="shared" ca="1" si="27"/>
        <v/>
      </c>
      <c r="J885" s="5"/>
      <c r="K885" s="6"/>
      <c r="L885" s="5"/>
      <c r="M885" s="6"/>
      <c r="N885" s="6"/>
      <c r="O885" s="6"/>
    </row>
    <row r="886" spans="1:15">
      <c r="A886" s="3" t="str">
        <f t="shared" si="26"/>
        <v/>
      </c>
      <c r="B886" s="3"/>
      <c r="C886" s="22"/>
      <c r="D886" s="4" t="str">
        <f>IF(C886="","",IFERROR(VLOOKUP(C886,'Calibrated Tools Register'!B:C,2,FALSE),"NOT registered"))</f>
        <v/>
      </c>
      <c r="E886" s="3"/>
      <c r="F886" s="4"/>
      <c r="G886" s="3"/>
      <c r="H886" s="3" t="str">
        <f ca="1">IFERROR(VLOOKUP(C886,'Calibrated Tools Register'!B:M,12,FALSE)-TODAY(),"")</f>
        <v/>
      </c>
      <c r="I886" s="3" t="str">
        <f t="shared" ca="1" si="27"/>
        <v/>
      </c>
      <c r="J886" s="3"/>
      <c r="K886" s="4"/>
      <c r="L886" s="3"/>
      <c r="M886" s="4"/>
      <c r="N886" s="4"/>
      <c r="O886" s="4"/>
    </row>
    <row r="887" spans="1:15">
      <c r="A887" s="3" t="str">
        <f t="shared" si="26"/>
        <v/>
      </c>
      <c r="B887" s="5"/>
      <c r="C887" s="23"/>
      <c r="D887" s="4" t="str">
        <f>IF(C887="","",IFERROR(VLOOKUP(C887,'Calibrated Tools Register'!B:C,2,FALSE),"NOT registered"))</f>
        <v/>
      </c>
      <c r="E887" s="5"/>
      <c r="F887" s="6"/>
      <c r="G887" s="5"/>
      <c r="H887" s="5" t="str">
        <f ca="1">IFERROR(VLOOKUP(C887,'Calibrated Tools Register'!B:M,12,FALSE)-TODAY(),"")</f>
        <v/>
      </c>
      <c r="I887" s="3" t="str">
        <f t="shared" ca="1" si="27"/>
        <v/>
      </c>
      <c r="J887" s="5"/>
      <c r="K887" s="6"/>
      <c r="L887" s="5"/>
      <c r="M887" s="6"/>
      <c r="N887" s="6"/>
      <c r="O887" s="6"/>
    </row>
    <row r="888" spans="1:15">
      <c r="A888" s="3" t="str">
        <f t="shared" si="26"/>
        <v/>
      </c>
      <c r="B888" s="3"/>
      <c r="C888" s="22"/>
      <c r="D888" s="4" t="str">
        <f>IF(C888="","",IFERROR(VLOOKUP(C888,'Calibrated Tools Register'!B:C,2,FALSE),"NOT registered"))</f>
        <v/>
      </c>
      <c r="E888" s="3"/>
      <c r="F888" s="4"/>
      <c r="G888" s="3"/>
      <c r="H888" s="3" t="str">
        <f ca="1">IFERROR(VLOOKUP(C888,'Calibrated Tools Register'!B:M,12,FALSE)-TODAY(),"")</f>
        <v/>
      </c>
      <c r="I888" s="3" t="str">
        <f t="shared" ca="1" si="27"/>
        <v/>
      </c>
      <c r="J888" s="3"/>
      <c r="K888" s="4"/>
      <c r="L888" s="3"/>
      <c r="M888" s="4"/>
      <c r="N888" s="4"/>
      <c r="O888" s="4"/>
    </row>
    <row r="889" spans="1:15">
      <c r="A889" s="3" t="str">
        <f t="shared" si="26"/>
        <v/>
      </c>
      <c r="B889" s="5"/>
      <c r="C889" s="23"/>
      <c r="D889" s="4" t="str">
        <f>IF(C889="","",IFERROR(VLOOKUP(C889,'Calibrated Tools Register'!B:C,2,FALSE),"NOT registered"))</f>
        <v/>
      </c>
      <c r="E889" s="5"/>
      <c r="F889" s="6"/>
      <c r="G889" s="5"/>
      <c r="H889" s="5" t="str">
        <f ca="1">IFERROR(VLOOKUP(C889,'Calibrated Tools Register'!B:M,12,FALSE)-TODAY(),"")</f>
        <v/>
      </c>
      <c r="I889" s="3" t="str">
        <f t="shared" ca="1" si="27"/>
        <v/>
      </c>
      <c r="J889" s="5"/>
      <c r="K889" s="6"/>
      <c r="L889" s="5"/>
      <c r="M889" s="6"/>
      <c r="N889" s="6"/>
      <c r="O889" s="6"/>
    </row>
    <row r="890" spans="1:15">
      <c r="A890" s="3" t="str">
        <f t="shared" si="26"/>
        <v/>
      </c>
      <c r="B890" s="3"/>
      <c r="C890" s="22"/>
      <c r="D890" s="4" t="str">
        <f>IF(C890="","",IFERROR(VLOOKUP(C890,'Calibrated Tools Register'!B:C,2,FALSE),"NOT registered"))</f>
        <v/>
      </c>
      <c r="E890" s="3"/>
      <c r="F890" s="4"/>
      <c r="G890" s="3"/>
      <c r="H890" s="3" t="str">
        <f ca="1">IFERROR(VLOOKUP(C890,'Calibrated Tools Register'!B:M,12,FALSE)-TODAY(),"")</f>
        <v/>
      </c>
      <c r="I890" s="3" t="str">
        <f t="shared" ca="1" si="27"/>
        <v/>
      </c>
      <c r="J890" s="3"/>
      <c r="K890" s="4"/>
      <c r="L890" s="3"/>
      <c r="M890" s="4"/>
      <c r="N890" s="4"/>
      <c r="O890" s="4"/>
    </row>
    <row r="891" spans="1:15">
      <c r="A891" s="3" t="str">
        <f t="shared" si="26"/>
        <v/>
      </c>
      <c r="B891" s="5"/>
      <c r="C891" s="23"/>
      <c r="D891" s="4" t="str">
        <f>IF(C891="","",IFERROR(VLOOKUP(C891,'Calibrated Tools Register'!B:C,2,FALSE),"NOT registered"))</f>
        <v/>
      </c>
      <c r="E891" s="5"/>
      <c r="F891" s="6"/>
      <c r="G891" s="5"/>
      <c r="H891" s="5" t="str">
        <f ca="1">IFERROR(VLOOKUP(C891,'Calibrated Tools Register'!B:M,12,FALSE)-TODAY(),"")</f>
        <v/>
      </c>
      <c r="I891" s="3" t="str">
        <f t="shared" ca="1" si="27"/>
        <v/>
      </c>
      <c r="J891" s="5"/>
      <c r="K891" s="6"/>
      <c r="L891" s="5"/>
      <c r="M891" s="6"/>
      <c r="N891" s="6"/>
      <c r="O891" s="6"/>
    </row>
    <row r="892" spans="1:15">
      <c r="A892" s="3" t="str">
        <f t="shared" si="26"/>
        <v/>
      </c>
      <c r="B892" s="3"/>
      <c r="C892" s="22"/>
      <c r="D892" s="4" t="str">
        <f>IF(C892="","",IFERROR(VLOOKUP(C892,'Calibrated Tools Register'!B:C,2,FALSE),"NOT registered"))</f>
        <v/>
      </c>
      <c r="E892" s="3"/>
      <c r="F892" s="4"/>
      <c r="G892" s="3"/>
      <c r="H892" s="3" t="str">
        <f ca="1">IFERROR(VLOOKUP(C892,'Calibrated Tools Register'!B:M,12,FALSE)-TODAY(),"")</f>
        <v/>
      </c>
      <c r="I892" s="3" t="str">
        <f t="shared" ca="1" si="27"/>
        <v/>
      </c>
      <c r="J892" s="3"/>
      <c r="K892" s="4"/>
      <c r="L892" s="3"/>
      <c r="M892" s="4"/>
      <c r="N892" s="4"/>
      <c r="O892" s="4"/>
    </row>
    <row r="893" spans="1:15">
      <c r="A893" s="3" t="str">
        <f t="shared" si="26"/>
        <v/>
      </c>
      <c r="B893" s="5"/>
      <c r="C893" s="23"/>
      <c r="D893" s="4" t="str">
        <f>IF(C893="","",IFERROR(VLOOKUP(C893,'Calibrated Tools Register'!B:C,2,FALSE),"NOT registered"))</f>
        <v/>
      </c>
      <c r="E893" s="5"/>
      <c r="F893" s="6"/>
      <c r="G893" s="5"/>
      <c r="H893" s="5" t="str">
        <f ca="1">IFERROR(VLOOKUP(C893,'Calibrated Tools Register'!B:M,12,FALSE)-TODAY(),"")</f>
        <v/>
      </c>
      <c r="I893" s="3" t="str">
        <f t="shared" ca="1" si="27"/>
        <v/>
      </c>
      <c r="J893" s="5"/>
      <c r="K893" s="6"/>
      <c r="L893" s="5"/>
      <c r="M893" s="6"/>
      <c r="N893" s="6"/>
      <c r="O893" s="6"/>
    </row>
    <row r="894" spans="1:15">
      <c r="A894" s="3" t="str">
        <f t="shared" si="26"/>
        <v/>
      </c>
      <c r="B894" s="3"/>
      <c r="C894" s="22"/>
      <c r="D894" s="4" t="str">
        <f>IF(C894="","",IFERROR(VLOOKUP(C894,'Calibrated Tools Register'!B:C,2,FALSE),"NOT registered"))</f>
        <v/>
      </c>
      <c r="E894" s="3"/>
      <c r="F894" s="4"/>
      <c r="G894" s="3"/>
      <c r="H894" s="3" t="str">
        <f ca="1">IFERROR(VLOOKUP(C894,'Calibrated Tools Register'!B:M,12,FALSE)-TODAY(),"")</f>
        <v/>
      </c>
      <c r="I894" s="3" t="str">
        <f t="shared" ca="1" si="27"/>
        <v/>
      </c>
      <c r="J894" s="3"/>
      <c r="K894" s="4"/>
      <c r="L894" s="3"/>
      <c r="M894" s="4"/>
      <c r="N894" s="4"/>
      <c r="O894" s="4"/>
    </row>
    <row r="895" spans="1:15">
      <c r="A895" s="3" t="str">
        <f t="shared" si="26"/>
        <v/>
      </c>
      <c r="B895" s="5"/>
      <c r="C895" s="23"/>
      <c r="D895" s="4" t="str">
        <f>IF(C895="","",IFERROR(VLOOKUP(C895,'Calibrated Tools Register'!B:C,2,FALSE),"NOT registered"))</f>
        <v/>
      </c>
      <c r="E895" s="5"/>
      <c r="F895" s="6"/>
      <c r="G895" s="5"/>
      <c r="H895" s="5" t="str">
        <f ca="1">IFERROR(VLOOKUP(C895,'Calibrated Tools Register'!B:M,12,FALSE)-TODAY(),"")</f>
        <v/>
      </c>
      <c r="I895" s="3" t="str">
        <f t="shared" ca="1" si="27"/>
        <v/>
      </c>
      <c r="J895" s="5"/>
      <c r="K895" s="6"/>
      <c r="L895" s="5"/>
      <c r="M895" s="6"/>
      <c r="N895" s="6"/>
      <c r="O895" s="6"/>
    </row>
    <row r="896" spans="1:15">
      <c r="A896" s="3" t="str">
        <f t="shared" si="26"/>
        <v/>
      </c>
      <c r="B896" s="3"/>
      <c r="C896" s="22"/>
      <c r="D896" s="4" t="str">
        <f>IF(C896="","",IFERROR(VLOOKUP(C896,'Calibrated Tools Register'!B:C,2,FALSE),"NOT registered"))</f>
        <v/>
      </c>
      <c r="E896" s="3"/>
      <c r="F896" s="4"/>
      <c r="G896" s="3"/>
      <c r="H896" s="3" t="str">
        <f ca="1">IFERROR(VLOOKUP(C896,'Calibrated Tools Register'!B:M,12,FALSE)-TODAY(),"")</f>
        <v/>
      </c>
      <c r="I896" s="3" t="str">
        <f t="shared" ca="1" si="27"/>
        <v/>
      </c>
      <c r="J896" s="3"/>
      <c r="K896" s="4"/>
      <c r="L896" s="3"/>
      <c r="M896" s="4"/>
      <c r="N896" s="4"/>
      <c r="O896" s="4"/>
    </row>
    <row r="897" spans="1:15">
      <c r="A897" s="3" t="str">
        <f t="shared" si="26"/>
        <v/>
      </c>
      <c r="B897" s="5"/>
      <c r="C897" s="23"/>
      <c r="D897" s="4" t="str">
        <f>IF(C897="","",IFERROR(VLOOKUP(C897,'Calibrated Tools Register'!B:C,2,FALSE),"NOT registered"))</f>
        <v/>
      </c>
      <c r="E897" s="5"/>
      <c r="F897" s="6"/>
      <c r="G897" s="5"/>
      <c r="H897" s="5" t="str">
        <f ca="1">IFERROR(VLOOKUP(C897,'Calibrated Tools Register'!B:M,12,FALSE)-TODAY(),"")</f>
        <v/>
      </c>
      <c r="I897" s="3" t="str">
        <f t="shared" ca="1" si="27"/>
        <v/>
      </c>
      <c r="J897" s="5"/>
      <c r="K897" s="6"/>
      <c r="L897" s="5"/>
      <c r="M897" s="6"/>
      <c r="N897" s="6"/>
      <c r="O897" s="6"/>
    </row>
    <row r="898" spans="1:15">
      <c r="A898" s="3" t="str">
        <f t="shared" si="26"/>
        <v/>
      </c>
      <c r="B898" s="3"/>
      <c r="C898" s="22"/>
      <c r="D898" s="4" t="str">
        <f>IF(C898="","",IFERROR(VLOOKUP(C898,'Calibrated Tools Register'!B:C,2,FALSE),"NOT registered"))</f>
        <v/>
      </c>
      <c r="E898" s="3"/>
      <c r="F898" s="4"/>
      <c r="G898" s="3"/>
      <c r="H898" s="3" t="str">
        <f ca="1">IFERROR(VLOOKUP(C898,'Calibrated Tools Register'!B:M,12,FALSE)-TODAY(),"")</f>
        <v/>
      </c>
      <c r="I898" s="3" t="str">
        <f t="shared" ca="1" si="27"/>
        <v/>
      </c>
      <c r="J898" s="3"/>
      <c r="K898" s="4"/>
      <c r="L898" s="3"/>
      <c r="M898" s="4"/>
      <c r="N898" s="4"/>
      <c r="O898" s="4"/>
    </row>
    <row r="899" spans="1:15">
      <c r="A899" s="3" t="str">
        <f t="shared" si="26"/>
        <v/>
      </c>
      <c r="B899" s="5"/>
      <c r="C899" s="23"/>
      <c r="D899" s="4" t="str">
        <f>IF(C899="","",IFERROR(VLOOKUP(C899,'Calibrated Tools Register'!B:C,2,FALSE),"NOT registered"))</f>
        <v/>
      </c>
      <c r="E899" s="5"/>
      <c r="F899" s="6"/>
      <c r="G899" s="5"/>
      <c r="H899" s="5" t="str">
        <f ca="1">IFERROR(VLOOKUP(C899,'Calibrated Tools Register'!B:M,12,FALSE)-TODAY(),"")</f>
        <v/>
      </c>
      <c r="I899" s="3" t="str">
        <f t="shared" ca="1" si="27"/>
        <v/>
      </c>
      <c r="J899" s="5"/>
      <c r="K899" s="6"/>
      <c r="L899" s="5"/>
      <c r="M899" s="6"/>
      <c r="N899" s="6"/>
      <c r="O899" s="6"/>
    </row>
    <row r="900" spans="1:15">
      <c r="A900" s="3" t="str">
        <f t="shared" ref="A900:A963" si="28">IF(C900="","",ROW(C900)-3)</f>
        <v/>
      </c>
      <c r="B900" s="3"/>
      <c r="C900" s="22"/>
      <c r="D900" s="4" t="str">
        <f>IF(C900="","",IFERROR(VLOOKUP(C900,'Calibrated Tools Register'!B:C,2,FALSE),"NOT registered"))</f>
        <v/>
      </c>
      <c r="E900" s="3"/>
      <c r="F900" s="4"/>
      <c r="G900" s="3"/>
      <c r="H900" s="3" t="str">
        <f ca="1">IFERROR(VLOOKUP(C900,'Calibrated Tools Register'!B:M,12,FALSE)-TODAY(),"")</f>
        <v/>
      </c>
      <c r="I900" s="3" t="str">
        <f t="shared" ca="1" si="27"/>
        <v/>
      </c>
      <c r="J900" s="3"/>
      <c r="K900" s="4"/>
      <c r="L900" s="3"/>
      <c r="M900" s="4"/>
      <c r="N900" s="4"/>
      <c r="O900" s="4"/>
    </row>
    <row r="901" spans="1:15">
      <c r="A901" s="3" t="str">
        <f t="shared" si="28"/>
        <v/>
      </c>
      <c r="B901" s="5"/>
      <c r="C901" s="23"/>
      <c r="D901" s="4" t="str">
        <f>IF(C901="","",IFERROR(VLOOKUP(C901,'Calibrated Tools Register'!B:C,2,FALSE),"NOT registered"))</f>
        <v/>
      </c>
      <c r="E901" s="5"/>
      <c r="F901" s="6"/>
      <c r="G901" s="5"/>
      <c r="H901" s="5" t="str">
        <f ca="1">IFERROR(VLOOKUP(C901,'Calibrated Tools Register'!B:M,12,FALSE)-TODAY(),"")</f>
        <v/>
      </c>
      <c r="I901" s="3" t="str">
        <f t="shared" ref="I901:I964" ca="1" si="29">IF(H901="","",IF(H901&lt;=0,"Urgent",IF(H901&lt;=30,"High",IF(H901&lt;=45,"Medium","Low"))))</f>
        <v/>
      </c>
      <c r="J901" s="5"/>
      <c r="K901" s="6"/>
      <c r="L901" s="5"/>
      <c r="M901" s="6"/>
      <c r="N901" s="6"/>
      <c r="O901" s="6"/>
    </row>
    <row r="902" spans="1:15">
      <c r="A902" s="3" t="str">
        <f t="shared" si="28"/>
        <v/>
      </c>
      <c r="B902" s="3"/>
      <c r="C902" s="22"/>
      <c r="D902" s="4" t="str">
        <f>IF(C902="","",IFERROR(VLOOKUP(C902,'Calibrated Tools Register'!B:C,2,FALSE),"NOT registered"))</f>
        <v/>
      </c>
      <c r="E902" s="3"/>
      <c r="F902" s="4"/>
      <c r="G902" s="3"/>
      <c r="H902" s="3" t="str">
        <f ca="1">IFERROR(VLOOKUP(C902,'Calibrated Tools Register'!B:M,12,FALSE)-TODAY(),"")</f>
        <v/>
      </c>
      <c r="I902" s="3" t="str">
        <f t="shared" ca="1" si="29"/>
        <v/>
      </c>
      <c r="J902" s="3"/>
      <c r="K902" s="4"/>
      <c r="L902" s="3"/>
      <c r="M902" s="4"/>
      <c r="N902" s="4"/>
      <c r="O902" s="4"/>
    </row>
    <row r="903" spans="1:15">
      <c r="A903" s="3" t="str">
        <f t="shared" si="28"/>
        <v/>
      </c>
      <c r="B903" s="5"/>
      <c r="C903" s="23"/>
      <c r="D903" s="4" t="str">
        <f>IF(C903="","",IFERROR(VLOOKUP(C903,'Calibrated Tools Register'!B:C,2,FALSE),"NOT registered"))</f>
        <v/>
      </c>
      <c r="E903" s="5"/>
      <c r="F903" s="6"/>
      <c r="G903" s="5"/>
      <c r="H903" s="5" t="str">
        <f ca="1">IFERROR(VLOOKUP(C903,'Calibrated Tools Register'!B:M,12,FALSE)-TODAY(),"")</f>
        <v/>
      </c>
      <c r="I903" s="3" t="str">
        <f t="shared" ca="1" si="29"/>
        <v/>
      </c>
      <c r="J903" s="5"/>
      <c r="K903" s="6"/>
      <c r="L903" s="5"/>
      <c r="M903" s="6"/>
      <c r="N903" s="6"/>
      <c r="O903" s="6"/>
    </row>
    <row r="904" spans="1:15">
      <c r="A904" s="3" t="str">
        <f t="shared" si="28"/>
        <v/>
      </c>
      <c r="B904" s="3"/>
      <c r="C904" s="22"/>
      <c r="D904" s="4" t="str">
        <f>IF(C904="","",IFERROR(VLOOKUP(C904,'Calibrated Tools Register'!B:C,2,FALSE),"NOT registered"))</f>
        <v/>
      </c>
      <c r="E904" s="3"/>
      <c r="F904" s="4"/>
      <c r="G904" s="3"/>
      <c r="H904" s="3" t="str">
        <f ca="1">IFERROR(VLOOKUP(C904,'Calibrated Tools Register'!B:M,12,FALSE)-TODAY(),"")</f>
        <v/>
      </c>
      <c r="I904" s="3" t="str">
        <f t="shared" ca="1" si="29"/>
        <v/>
      </c>
      <c r="J904" s="3"/>
      <c r="K904" s="4"/>
      <c r="L904" s="3"/>
      <c r="M904" s="4"/>
      <c r="N904" s="4"/>
      <c r="O904" s="4"/>
    </row>
    <row r="905" spans="1:15">
      <c r="A905" s="3" t="str">
        <f t="shared" si="28"/>
        <v/>
      </c>
      <c r="B905" s="5"/>
      <c r="C905" s="23"/>
      <c r="D905" s="4" t="str">
        <f>IF(C905="","",IFERROR(VLOOKUP(C905,'Calibrated Tools Register'!B:C,2,FALSE),"NOT registered"))</f>
        <v/>
      </c>
      <c r="E905" s="5"/>
      <c r="F905" s="6"/>
      <c r="G905" s="5"/>
      <c r="H905" s="5" t="str">
        <f ca="1">IFERROR(VLOOKUP(C905,'Calibrated Tools Register'!B:M,12,FALSE)-TODAY(),"")</f>
        <v/>
      </c>
      <c r="I905" s="3" t="str">
        <f t="shared" ca="1" si="29"/>
        <v/>
      </c>
      <c r="J905" s="5"/>
      <c r="K905" s="6"/>
      <c r="L905" s="5"/>
      <c r="M905" s="6"/>
      <c r="N905" s="6"/>
      <c r="O905" s="6"/>
    </row>
    <row r="906" spans="1:15">
      <c r="A906" s="3" t="str">
        <f t="shared" si="28"/>
        <v/>
      </c>
      <c r="B906" s="3"/>
      <c r="C906" s="22"/>
      <c r="D906" s="4" t="str">
        <f>IF(C906="","",IFERROR(VLOOKUP(C906,'Calibrated Tools Register'!B:C,2,FALSE),"NOT registered"))</f>
        <v/>
      </c>
      <c r="E906" s="3"/>
      <c r="F906" s="4"/>
      <c r="G906" s="3"/>
      <c r="H906" s="3" t="str">
        <f ca="1">IFERROR(VLOOKUP(C906,'Calibrated Tools Register'!B:M,12,FALSE)-TODAY(),"")</f>
        <v/>
      </c>
      <c r="I906" s="3" t="str">
        <f t="shared" ca="1" si="29"/>
        <v/>
      </c>
      <c r="J906" s="3"/>
      <c r="K906" s="4"/>
      <c r="L906" s="3"/>
      <c r="M906" s="4"/>
      <c r="N906" s="4"/>
      <c r="O906" s="4"/>
    </row>
    <row r="907" spans="1:15">
      <c r="A907" s="3" t="str">
        <f t="shared" si="28"/>
        <v/>
      </c>
      <c r="B907" s="5"/>
      <c r="C907" s="23"/>
      <c r="D907" s="4" t="str">
        <f>IF(C907="","",IFERROR(VLOOKUP(C907,'Calibrated Tools Register'!B:C,2,FALSE),"NOT registered"))</f>
        <v/>
      </c>
      <c r="E907" s="5"/>
      <c r="F907" s="6"/>
      <c r="G907" s="5"/>
      <c r="H907" s="5" t="str">
        <f ca="1">IFERROR(VLOOKUP(C907,'Calibrated Tools Register'!B:M,12,FALSE)-TODAY(),"")</f>
        <v/>
      </c>
      <c r="I907" s="3" t="str">
        <f t="shared" ca="1" si="29"/>
        <v/>
      </c>
      <c r="J907" s="5"/>
      <c r="K907" s="6"/>
      <c r="L907" s="5"/>
      <c r="M907" s="6"/>
      <c r="N907" s="6"/>
      <c r="O907" s="6"/>
    </row>
    <row r="908" spans="1:15">
      <c r="A908" s="3" t="str">
        <f t="shared" si="28"/>
        <v/>
      </c>
      <c r="B908" s="3"/>
      <c r="C908" s="22"/>
      <c r="D908" s="4" t="str">
        <f>IF(C908="","",IFERROR(VLOOKUP(C908,'Calibrated Tools Register'!B:C,2,FALSE),"NOT registered"))</f>
        <v/>
      </c>
      <c r="E908" s="3"/>
      <c r="F908" s="4"/>
      <c r="G908" s="3"/>
      <c r="H908" s="3" t="str">
        <f ca="1">IFERROR(VLOOKUP(C908,'Calibrated Tools Register'!B:M,12,FALSE)-TODAY(),"")</f>
        <v/>
      </c>
      <c r="I908" s="3" t="str">
        <f t="shared" ca="1" si="29"/>
        <v/>
      </c>
      <c r="J908" s="3"/>
      <c r="K908" s="4"/>
      <c r="L908" s="3"/>
      <c r="M908" s="4"/>
      <c r="N908" s="4"/>
      <c r="O908" s="4"/>
    </row>
    <row r="909" spans="1:15">
      <c r="A909" s="3" t="str">
        <f t="shared" si="28"/>
        <v/>
      </c>
      <c r="B909" s="5"/>
      <c r="C909" s="23"/>
      <c r="D909" s="4" t="str">
        <f>IF(C909="","",IFERROR(VLOOKUP(C909,'Calibrated Tools Register'!B:C,2,FALSE),"NOT registered"))</f>
        <v/>
      </c>
      <c r="E909" s="5"/>
      <c r="F909" s="6"/>
      <c r="G909" s="5"/>
      <c r="H909" s="5" t="str">
        <f ca="1">IFERROR(VLOOKUP(C909,'Calibrated Tools Register'!B:M,12,FALSE)-TODAY(),"")</f>
        <v/>
      </c>
      <c r="I909" s="3" t="str">
        <f t="shared" ca="1" si="29"/>
        <v/>
      </c>
      <c r="J909" s="5"/>
      <c r="K909" s="6"/>
      <c r="L909" s="5"/>
      <c r="M909" s="6"/>
      <c r="N909" s="6"/>
      <c r="O909" s="6"/>
    </row>
    <row r="910" spans="1:15">
      <c r="A910" s="3" t="str">
        <f t="shared" si="28"/>
        <v/>
      </c>
      <c r="B910" s="3"/>
      <c r="C910" s="22"/>
      <c r="D910" s="4" t="str">
        <f>IF(C910="","",IFERROR(VLOOKUP(C910,'Calibrated Tools Register'!B:C,2,FALSE),"NOT registered"))</f>
        <v/>
      </c>
      <c r="E910" s="3"/>
      <c r="F910" s="4"/>
      <c r="G910" s="3"/>
      <c r="H910" s="3" t="str">
        <f ca="1">IFERROR(VLOOKUP(C910,'Calibrated Tools Register'!B:M,12,FALSE)-TODAY(),"")</f>
        <v/>
      </c>
      <c r="I910" s="3" t="str">
        <f t="shared" ca="1" si="29"/>
        <v/>
      </c>
      <c r="J910" s="3"/>
      <c r="K910" s="4"/>
      <c r="L910" s="3"/>
      <c r="M910" s="4"/>
      <c r="N910" s="4"/>
      <c r="O910" s="4"/>
    </row>
    <row r="911" spans="1:15">
      <c r="A911" s="3" t="str">
        <f t="shared" si="28"/>
        <v/>
      </c>
      <c r="B911" s="5"/>
      <c r="C911" s="23"/>
      <c r="D911" s="4" t="str">
        <f>IF(C911="","",IFERROR(VLOOKUP(C911,'Calibrated Tools Register'!B:C,2,FALSE),"NOT registered"))</f>
        <v/>
      </c>
      <c r="E911" s="5"/>
      <c r="F911" s="6"/>
      <c r="G911" s="5"/>
      <c r="H911" s="5" t="str">
        <f ca="1">IFERROR(VLOOKUP(C911,'Calibrated Tools Register'!B:M,12,FALSE)-TODAY(),"")</f>
        <v/>
      </c>
      <c r="I911" s="3" t="str">
        <f t="shared" ca="1" si="29"/>
        <v/>
      </c>
      <c r="J911" s="5"/>
      <c r="K911" s="6"/>
      <c r="L911" s="5"/>
      <c r="M911" s="6"/>
      <c r="N911" s="6"/>
      <c r="O911" s="6"/>
    </row>
    <row r="912" spans="1:15">
      <c r="A912" s="3" t="str">
        <f t="shared" si="28"/>
        <v/>
      </c>
      <c r="B912" s="3"/>
      <c r="C912" s="22"/>
      <c r="D912" s="4" t="str">
        <f>IF(C912="","",IFERROR(VLOOKUP(C912,'Calibrated Tools Register'!B:C,2,FALSE),"NOT registered"))</f>
        <v/>
      </c>
      <c r="E912" s="3"/>
      <c r="F912" s="4"/>
      <c r="G912" s="3"/>
      <c r="H912" s="3" t="str">
        <f ca="1">IFERROR(VLOOKUP(C912,'Calibrated Tools Register'!B:M,12,FALSE)-TODAY(),"")</f>
        <v/>
      </c>
      <c r="I912" s="3" t="str">
        <f t="shared" ca="1" si="29"/>
        <v/>
      </c>
      <c r="J912" s="3"/>
      <c r="K912" s="4"/>
      <c r="L912" s="3"/>
      <c r="M912" s="4"/>
      <c r="N912" s="4"/>
      <c r="O912" s="4"/>
    </row>
    <row r="913" spans="1:15">
      <c r="A913" s="3" t="str">
        <f t="shared" si="28"/>
        <v/>
      </c>
      <c r="B913" s="5"/>
      <c r="C913" s="23"/>
      <c r="D913" s="4" t="str">
        <f>IF(C913="","",IFERROR(VLOOKUP(C913,'Calibrated Tools Register'!B:C,2,FALSE),"NOT registered"))</f>
        <v/>
      </c>
      <c r="E913" s="5"/>
      <c r="F913" s="6"/>
      <c r="G913" s="5"/>
      <c r="H913" s="5" t="str">
        <f ca="1">IFERROR(VLOOKUP(C913,'Calibrated Tools Register'!B:M,12,FALSE)-TODAY(),"")</f>
        <v/>
      </c>
      <c r="I913" s="3" t="str">
        <f t="shared" ca="1" si="29"/>
        <v/>
      </c>
      <c r="J913" s="5"/>
      <c r="K913" s="6"/>
      <c r="L913" s="5"/>
      <c r="M913" s="6"/>
      <c r="N913" s="6"/>
      <c r="O913" s="6"/>
    </row>
    <row r="914" spans="1:15">
      <c r="A914" s="3" t="str">
        <f t="shared" si="28"/>
        <v/>
      </c>
      <c r="B914" s="3"/>
      <c r="C914" s="22"/>
      <c r="D914" s="4" t="str">
        <f>IF(C914="","",IFERROR(VLOOKUP(C914,'Calibrated Tools Register'!B:C,2,FALSE),"NOT registered"))</f>
        <v/>
      </c>
      <c r="E914" s="3"/>
      <c r="F914" s="4"/>
      <c r="G914" s="3"/>
      <c r="H914" s="3" t="str">
        <f ca="1">IFERROR(VLOOKUP(C914,'Calibrated Tools Register'!B:M,12,FALSE)-TODAY(),"")</f>
        <v/>
      </c>
      <c r="I914" s="3" t="str">
        <f t="shared" ca="1" si="29"/>
        <v/>
      </c>
      <c r="J914" s="3"/>
      <c r="K914" s="4"/>
      <c r="L914" s="3"/>
      <c r="M914" s="4"/>
      <c r="N914" s="4"/>
      <c r="O914" s="4"/>
    </row>
    <row r="915" spans="1:15">
      <c r="A915" s="3" t="str">
        <f t="shared" si="28"/>
        <v/>
      </c>
      <c r="B915" s="5"/>
      <c r="C915" s="23"/>
      <c r="D915" s="4" t="str">
        <f>IF(C915="","",IFERROR(VLOOKUP(C915,'Calibrated Tools Register'!B:C,2,FALSE),"NOT registered"))</f>
        <v/>
      </c>
      <c r="E915" s="5"/>
      <c r="F915" s="6"/>
      <c r="G915" s="5"/>
      <c r="H915" s="5" t="str">
        <f ca="1">IFERROR(VLOOKUP(C915,'Calibrated Tools Register'!B:M,12,FALSE)-TODAY(),"")</f>
        <v/>
      </c>
      <c r="I915" s="3" t="str">
        <f t="shared" ca="1" si="29"/>
        <v/>
      </c>
      <c r="J915" s="5"/>
      <c r="K915" s="6"/>
      <c r="L915" s="5"/>
      <c r="M915" s="6"/>
      <c r="N915" s="6"/>
      <c r="O915" s="6"/>
    </row>
    <row r="916" spans="1:15">
      <c r="A916" s="3" t="str">
        <f t="shared" si="28"/>
        <v/>
      </c>
      <c r="B916" s="3"/>
      <c r="C916" s="22"/>
      <c r="D916" s="4" t="str">
        <f>IF(C916="","",IFERROR(VLOOKUP(C916,'Calibrated Tools Register'!B:C,2,FALSE),"NOT registered"))</f>
        <v/>
      </c>
      <c r="E916" s="3"/>
      <c r="F916" s="4"/>
      <c r="G916" s="3"/>
      <c r="H916" s="3" t="str">
        <f ca="1">IFERROR(VLOOKUP(C916,'Calibrated Tools Register'!B:M,12,FALSE)-TODAY(),"")</f>
        <v/>
      </c>
      <c r="I916" s="3" t="str">
        <f t="shared" ca="1" si="29"/>
        <v/>
      </c>
      <c r="J916" s="3"/>
      <c r="K916" s="4"/>
      <c r="L916" s="3"/>
      <c r="M916" s="4"/>
      <c r="N916" s="4"/>
      <c r="O916" s="4"/>
    </row>
    <row r="917" spans="1:15">
      <c r="A917" s="3" t="str">
        <f t="shared" si="28"/>
        <v/>
      </c>
      <c r="B917" s="5"/>
      <c r="C917" s="23"/>
      <c r="D917" s="4" t="str">
        <f>IF(C917="","",IFERROR(VLOOKUP(C917,'Calibrated Tools Register'!B:C,2,FALSE),"NOT registered"))</f>
        <v/>
      </c>
      <c r="E917" s="5"/>
      <c r="F917" s="6"/>
      <c r="G917" s="5"/>
      <c r="H917" s="5" t="str">
        <f ca="1">IFERROR(VLOOKUP(C917,'Calibrated Tools Register'!B:M,12,FALSE)-TODAY(),"")</f>
        <v/>
      </c>
      <c r="I917" s="3" t="str">
        <f t="shared" ca="1" si="29"/>
        <v/>
      </c>
      <c r="J917" s="5"/>
      <c r="K917" s="6"/>
      <c r="L917" s="5"/>
      <c r="M917" s="6"/>
      <c r="N917" s="6"/>
      <c r="O917" s="6"/>
    </row>
    <row r="918" spans="1:15">
      <c r="A918" s="3" t="str">
        <f t="shared" si="28"/>
        <v/>
      </c>
      <c r="B918" s="3"/>
      <c r="C918" s="22"/>
      <c r="D918" s="4" t="str">
        <f>IF(C918="","",IFERROR(VLOOKUP(C918,'Calibrated Tools Register'!B:C,2,FALSE),"NOT registered"))</f>
        <v/>
      </c>
      <c r="E918" s="3"/>
      <c r="F918" s="4"/>
      <c r="G918" s="3"/>
      <c r="H918" s="3" t="str">
        <f ca="1">IFERROR(VLOOKUP(C918,'Calibrated Tools Register'!B:M,12,FALSE)-TODAY(),"")</f>
        <v/>
      </c>
      <c r="I918" s="3" t="str">
        <f t="shared" ca="1" si="29"/>
        <v/>
      </c>
      <c r="J918" s="3"/>
      <c r="K918" s="4"/>
      <c r="L918" s="3"/>
      <c r="M918" s="4"/>
      <c r="N918" s="4"/>
      <c r="O918" s="4"/>
    </row>
    <row r="919" spans="1:15">
      <c r="A919" s="3" t="str">
        <f t="shared" si="28"/>
        <v/>
      </c>
      <c r="B919" s="5"/>
      <c r="C919" s="23"/>
      <c r="D919" s="4" t="str">
        <f>IF(C919="","",IFERROR(VLOOKUP(C919,'Calibrated Tools Register'!B:C,2,FALSE),"NOT registered"))</f>
        <v/>
      </c>
      <c r="E919" s="5"/>
      <c r="F919" s="6"/>
      <c r="G919" s="5"/>
      <c r="H919" s="5" t="str">
        <f ca="1">IFERROR(VLOOKUP(C919,'Calibrated Tools Register'!B:M,12,FALSE)-TODAY(),"")</f>
        <v/>
      </c>
      <c r="I919" s="3" t="str">
        <f t="shared" ca="1" si="29"/>
        <v/>
      </c>
      <c r="J919" s="5"/>
      <c r="K919" s="6"/>
      <c r="L919" s="5"/>
      <c r="M919" s="6"/>
      <c r="N919" s="6"/>
      <c r="O919" s="6"/>
    </row>
    <row r="920" spans="1:15">
      <c r="A920" s="3" t="str">
        <f t="shared" si="28"/>
        <v/>
      </c>
      <c r="B920" s="3"/>
      <c r="C920" s="22"/>
      <c r="D920" s="4" t="str">
        <f>IF(C920="","",IFERROR(VLOOKUP(C920,'Calibrated Tools Register'!B:C,2,FALSE),"NOT registered"))</f>
        <v/>
      </c>
      <c r="E920" s="3"/>
      <c r="F920" s="4"/>
      <c r="G920" s="3"/>
      <c r="H920" s="3" t="str">
        <f ca="1">IFERROR(VLOOKUP(C920,'Calibrated Tools Register'!B:M,12,FALSE)-TODAY(),"")</f>
        <v/>
      </c>
      <c r="I920" s="3" t="str">
        <f t="shared" ca="1" si="29"/>
        <v/>
      </c>
      <c r="J920" s="3"/>
      <c r="K920" s="4"/>
      <c r="L920" s="3"/>
      <c r="M920" s="4"/>
      <c r="N920" s="4"/>
      <c r="O920" s="4"/>
    </row>
    <row r="921" spans="1:15">
      <c r="A921" s="3" t="str">
        <f t="shared" si="28"/>
        <v/>
      </c>
      <c r="B921" s="5"/>
      <c r="C921" s="23"/>
      <c r="D921" s="4" t="str">
        <f>IF(C921="","",IFERROR(VLOOKUP(C921,'Calibrated Tools Register'!B:C,2,FALSE),"NOT registered"))</f>
        <v/>
      </c>
      <c r="E921" s="5"/>
      <c r="F921" s="6"/>
      <c r="G921" s="5"/>
      <c r="H921" s="5" t="str">
        <f ca="1">IFERROR(VLOOKUP(C921,'Calibrated Tools Register'!B:M,12,FALSE)-TODAY(),"")</f>
        <v/>
      </c>
      <c r="I921" s="3" t="str">
        <f t="shared" ca="1" si="29"/>
        <v/>
      </c>
      <c r="J921" s="5"/>
      <c r="K921" s="6"/>
      <c r="L921" s="5"/>
      <c r="M921" s="6"/>
      <c r="N921" s="6"/>
      <c r="O921" s="6"/>
    </row>
    <row r="922" spans="1:15">
      <c r="A922" s="3" t="str">
        <f t="shared" si="28"/>
        <v/>
      </c>
      <c r="B922" s="3"/>
      <c r="C922" s="22"/>
      <c r="D922" s="4" t="str">
        <f>IF(C922="","",IFERROR(VLOOKUP(C922,'Calibrated Tools Register'!B:C,2,FALSE),"NOT registered"))</f>
        <v/>
      </c>
      <c r="E922" s="3"/>
      <c r="F922" s="4"/>
      <c r="G922" s="3"/>
      <c r="H922" s="3" t="str">
        <f ca="1">IFERROR(VLOOKUP(C922,'Calibrated Tools Register'!B:M,12,FALSE)-TODAY(),"")</f>
        <v/>
      </c>
      <c r="I922" s="3" t="str">
        <f t="shared" ca="1" si="29"/>
        <v/>
      </c>
      <c r="J922" s="3"/>
      <c r="K922" s="4"/>
      <c r="L922" s="3"/>
      <c r="M922" s="4"/>
      <c r="N922" s="4"/>
      <c r="O922" s="4"/>
    </row>
    <row r="923" spans="1:15">
      <c r="A923" s="3" t="str">
        <f t="shared" si="28"/>
        <v/>
      </c>
      <c r="B923" s="5"/>
      <c r="C923" s="23"/>
      <c r="D923" s="4" t="str">
        <f>IF(C923="","",IFERROR(VLOOKUP(C923,'Calibrated Tools Register'!B:C,2,FALSE),"NOT registered"))</f>
        <v/>
      </c>
      <c r="E923" s="5"/>
      <c r="F923" s="6"/>
      <c r="G923" s="5"/>
      <c r="H923" s="5" t="str">
        <f ca="1">IFERROR(VLOOKUP(C923,'Calibrated Tools Register'!B:M,12,FALSE)-TODAY(),"")</f>
        <v/>
      </c>
      <c r="I923" s="3" t="str">
        <f t="shared" ca="1" si="29"/>
        <v/>
      </c>
      <c r="J923" s="5"/>
      <c r="K923" s="6"/>
      <c r="L923" s="5"/>
      <c r="M923" s="6"/>
      <c r="N923" s="6"/>
      <c r="O923" s="6"/>
    </row>
    <row r="924" spans="1:15">
      <c r="A924" s="3" t="str">
        <f t="shared" si="28"/>
        <v/>
      </c>
      <c r="B924" s="3"/>
      <c r="C924" s="22"/>
      <c r="D924" s="4" t="str">
        <f>IF(C924="","",IFERROR(VLOOKUP(C924,'Calibrated Tools Register'!B:C,2,FALSE),"NOT registered"))</f>
        <v/>
      </c>
      <c r="E924" s="3"/>
      <c r="F924" s="4"/>
      <c r="G924" s="3"/>
      <c r="H924" s="3" t="str">
        <f ca="1">IFERROR(VLOOKUP(C924,'Calibrated Tools Register'!B:M,12,FALSE)-TODAY(),"")</f>
        <v/>
      </c>
      <c r="I924" s="3" t="str">
        <f t="shared" ca="1" si="29"/>
        <v/>
      </c>
      <c r="J924" s="3"/>
      <c r="K924" s="4"/>
      <c r="L924" s="3"/>
      <c r="M924" s="4"/>
      <c r="N924" s="4"/>
      <c r="O924" s="4"/>
    </row>
    <row r="925" spans="1:15">
      <c r="A925" s="3" t="str">
        <f t="shared" si="28"/>
        <v/>
      </c>
      <c r="B925" s="5"/>
      <c r="C925" s="23"/>
      <c r="D925" s="4" t="str">
        <f>IF(C925="","",IFERROR(VLOOKUP(C925,'Calibrated Tools Register'!B:C,2,FALSE),"NOT registered"))</f>
        <v/>
      </c>
      <c r="E925" s="5"/>
      <c r="F925" s="6"/>
      <c r="G925" s="5"/>
      <c r="H925" s="5" t="str">
        <f ca="1">IFERROR(VLOOKUP(C925,'Calibrated Tools Register'!B:M,12,FALSE)-TODAY(),"")</f>
        <v/>
      </c>
      <c r="I925" s="3" t="str">
        <f t="shared" ca="1" si="29"/>
        <v/>
      </c>
      <c r="J925" s="5"/>
      <c r="K925" s="6"/>
      <c r="L925" s="5"/>
      <c r="M925" s="6"/>
      <c r="N925" s="6"/>
      <c r="O925" s="6"/>
    </row>
    <row r="926" spans="1:15">
      <c r="A926" s="3" t="str">
        <f t="shared" si="28"/>
        <v/>
      </c>
      <c r="B926" s="3"/>
      <c r="C926" s="22"/>
      <c r="D926" s="4" t="str">
        <f>IF(C926="","",IFERROR(VLOOKUP(C926,'Calibrated Tools Register'!B:C,2,FALSE),"NOT registered"))</f>
        <v/>
      </c>
      <c r="E926" s="3"/>
      <c r="F926" s="4"/>
      <c r="G926" s="3"/>
      <c r="H926" s="3" t="str">
        <f ca="1">IFERROR(VLOOKUP(C926,'Calibrated Tools Register'!B:M,12,FALSE)-TODAY(),"")</f>
        <v/>
      </c>
      <c r="I926" s="3" t="str">
        <f t="shared" ca="1" si="29"/>
        <v/>
      </c>
      <c r="J926" s="3"/>
      <c r="K926" s="4"/>
      <c r="L926" s="3"/>
      <c r="M926" s="4"/>
      <c r="N926" s="4"/>
      <c r="O926" s="4"/>
    </row>
    <row r="927" spans="1:15">
      <c r="A927" s="3" t="str">
        <f t="shared" si="28"/>
        <v/>
      </c>
      <c r="B927" s="5"/>
      <c r="C927" s="23"/>
      <c r="D927" s="4" t="str">
        <f>IF(C927="","",IFERROR(VLOOKUP(C927,'Calibrated Tools Register'!B:C,2,FALSE),"NOT registered"))</f>
        <v/>
      </c>
      <c r="E927" s="5"/>
      <c r="F927" s="6"/>
      <c r="G927" s="5"/>
      <c r="H927" s="5" t="str">
        <f ca="1">IFERROR(VLOOKUP(C927,'Calibrated Tools Register'!B:M,12,FALSE)-TODAY(),"")</f>
        <v/>
      </c>
      <c r="I927" s="3" t="str">
        <f t="shared" ca="1" si="29"/>
        <v/>
      </c>
      <c r="J927" s="5"/>
      <c r="K927" s="6"/>
      <c r="L927" s="5"/>
      <c r="M927" s="6"/>
      <c r="N927" s="6"/>
      <c r="O927" s="6"/>
    </row>
    <row r="928" spans="1:15">
      <c r="A928" s="3" t="str">
        <f t="shared" si="28"/>
        <v/>
      </c>
      <c r="B928" s="3"/>
      <c r="C928" s="22"/>
      <c r="D928" s="4" t="str">
        <f>IF(C928="","",IFERROR(VLOOKUP(C928,'Calibrated Tools Register'!B:C,2,FALSE),"NOT registered"))</f>
        <v/>
      </c>
      <c r="E928" s="3"/>
      <c r="F928" s="4"/>
      <c r="G928" s="3"/>
      <c r="H928" s="3" t="str">
        <f ca="1">IFERROR(VLOOKUP(C928,'Calibrated Tools Register'!B:M,12,FALSE)-TODAY(),"")</f>
        <v/>
      </c>
      <c r="I928" s="3" t="str">
        <f t="shared" ca="1" si="29"/>
        <v/>
      </c>
      <c r="J928" s="3"/>
      <c r="K928" s="4"/>
      <c r="L928" s="3"/>
      <c r="M928" s="4"/>
      <c r="N928" s="4"/>
      <c r="O928" s="4"/>
    </row>
    <row r="929" spans="1:15">
      <c r="A929" s="3" t="str">
        <f t="shared" si="28"/>
        <v/>
      </c>
      <c r="B929" s="5"/>
      <c r="C929" s="23"/>
      <c r="D929" s="4" t="str">
        <f>IF(C929="","",IFERROR(VLOOKUP(C929,'Calibrated Tools Register'!B:C,2,FALSE),"NOT registered"))</f>
        <v/>
      </c>
      <c r="E929" s="5"/>
      <c r="F929" s="6"/>
      <c r="G929" s="5"/>
      <c r="H929" s="5" t="str">
        <f ca="1">IFERROR(VLOOKUP(C929,'Calibrated Tools Register'!B:M,12,FALSE)-TODAY(),"")</f>
        <v/>
      </c>
      <c r="I929" s="3" t="str">
        <f t="shared" ca="1" si="29"/>
        <v/>
      </c>
      <c r="J929" s="5"/>
      <c r="K929" s="6"/>
      <c r="L929" s="5"/>
      <c r="M929" s="6"/>
      <c r="N929" s="6"/>
      <c r="O929" s="6"/>
    </row>
    <row r="930" spans="1:15">
      <c r="A930" s="3" t="str">
        <f t="shared" si="28"/>
        <v/>
      </c>
      <c r="B930" s="3"/>
      <c r="C930" s="22"/>
      <c r="D930" s="4" t="str">
        <f>IF(C930="","",IFERROR(VLOOKUP(C930,'Calibrated Tools Register'!B:C,2,FALSE),"NOT registered"))</f>
        <v/>
      </c>
      <c r="E930" s="3"/>
      <c r="F930" s="4"/>
      <c r="G930" s="3"/>
      <c r="H930" s="3" t="str">
        <f ca="1">IFERROR(VLOOKUP(C930,'Calibrated Tools Register'!B:M,12,FALSE)-TODAY(),"")</f>
        <v/>
      </c>
      <c r="I930" s="3" t="str">
        <f t="shared" ca="1" si="29"/>
        <v/>
      </c>
      <c r="J930" s="3"/>
      <c r="K930" s="4"/>
      <c r="L930" s="3"/>
      <c r="M930" s="4"/>
      <c r="N930" s="4"/>
      <c r="O930" s="4"/>
    </row>
    <row r="931" spans="1:15">
      <c r="A931" s="3" t="str">
        <f t="shared" si="28"/>
        <v/>
      </c>
      <c r="B931" s="5"/>
      <c r="C931" s="23"/>
      <c r="D931" s="4" t="str">
        <f>IF(C931="","",IFERROR(VLOOKUP(C931,'Calibrated Tools Register'!B:C,2,FALSE),"NOT registered"))</f>
        <v/>
      </c>
      <c r="E931" s="5"/>
      <c r="F931" s="6"/>
      <c r="G931" s="5"/>
      <c r="H931" s="5" t="str">
        <f ca="1">IFERROR(VLOOKUP(C931,'Calibrated Tools Register'!B:M,12,FALSE)-TODAY(),"")</f>
        <v/>
      </c>
      <c r="I931" s="3" t="str">
        <f t="shared" ca="1" si="29"/>
        <v/>
      </c>
      <c r="J931" s="5"/>
      <c r="K931" s="6"/>
      <c r="L931" s="5"/>
      <c r="M931" s="6"/>
      <c r="N931" s="6"/>
      <c r="O931" s="6"/>
    </row>
    <row r="932" spans="1:15">
      <c r="A932" s="3" t="str">
        <f t="shared" si="28"/>
        <v/>
      </c>
      <c r="B932" s="3"/>
      <c r="C932" s="22"/>
      <c r="D932" s="4" t="str">
        <f>IF(C932="","",IFERROR(VLOOKUP(C932,'Calibrated Tools Register'!B:C,2,FALSE),"NOT registered"))</f>
        <v/>
      </c>
      <c r="E932" s="3"/>
      <c r="F932" s="4"/>
      <c r="G932" s="3"/>
      <c r="H932" s="3" t="str">
        <f ca="1">IFERROR(VLOOKUP(C932,'Calibrated Tools Register'!B:M,12,FALSE)-TODAY(),"")</f>
        <v/>
      </c>
      <c r="I932" s="3" t="str">
        <f t="shared" ca="1" si="29"/>
        <v/>
      </c>
      <c r="J932" s="3"/>
      <c r="K932" s="4"/>
      <c r="L932" s="3"/>
      <c r="M932" s="4"/>
      <c r="N932" s="4"/>
      <c r="O932" s="4"/>
    </row>
    <row r="933" spans="1:15">
      <c r="A933" s="3" t="str">
        <f t="shared" si="28"/>
        <v/>
      </c>
      <c r="B933" s="5"/>
      <c r="C933" s="23"/>
      <c r="D933" s="4" t="str">
        <f>IF(C933="","",IFERROR(VLOOKUP(C933,'Calibrated Tools Register'!B:C,2,FALSE),"NOT registered"))</f>
        <v/>
      </c>
      <c r="E933" s="5"/>
      <c r="F933" s="6"/>
      <c r="G933" s="5"/>
      <c r="H933" s="5" t="str">
        <f ca="1">IFERROR(VLOOKUP(C933,'Calibrated Tools Register'!B:M,12,FALSE)-TODAY(),"")</f>
        <v/>
      </c>
      <c r="I933" s="3" t="str">
        <f t="shared" ca="1" si="29"/>
        <v/>
      </c>
      <c r="J933" s="5"/>
      <c r="K933" s="6"/>
      <c r="L933" s="5"/>
      <c r="M933" s="6"/>
      <c r="N933" s="6"/>
      <c r="O933" s="6"/>
    </row>
    <row r="934" spans="1:15">
      <c r="A934" s="3" t="str">
        <f t="shared" si="28"/>
        <v/>
      </c>
      <c r="B934" s="3"/>
      <c r="C934" s="22"/>
      <c r="D934" s="4" t="str">
        <f>IF(C934="","",IFERROR(VLOOKUP(C934,'Calibrated Tools Register'!B:C,2,FALSE),"NOT registered"))</f>
        <v/>
      </c>
      <c r="E934" s="3"/>
      <c r="F934" s="4"/>
      <c r="G934" s="3"/>
      <c r="H934" s="3" t="str">
        <f ca="1">IFERROR(VLOOKUP(C934,'Calibrated Tools Register'!B:M,12,FALSE)-TODAY(),"")</f>
        <v/>
      </c>
      <c r="I934" s="3" t="str">
        <f t="shared" ca="1" si="29"/>
        <v/>
      </c>
      <c r="J934" s="3"/>
      <c r="K934" s="4"/>
      <c r="L934" s="3"/>
      <c r="M934" s="4"/>
      <c r="N934" s="4"/>
      <c r="O934" s="4"/>
    </row>
    <row r="935" spans="1:15">
      <c r="A935" s="3" t="str">
        <f t="shared" si="28"/>
        <v/>
      </c>
      <c r="B935" s="5"/>
      <c r="C935" s="23"/>
      <c r="D935" s="4" t="str">
        <f>IF(C935="","",IFERROR(VLOOKUP(C935,'Calibrated Tools Register'!B:C,2,FALSE),"NOT registered"))</f>
        <v/>
      </c>
      <c r="E935" s="5"/>
      <c r="F935" s="6"/>
      <c r="G935" s="5"/>
      <c r="H935" s="5" t="str">
        <f ca="1">IFERROR(VLOOKUP(C935,'Calibrated Tools Register'!B:M,12,FALSE)-TODAY(),"")</f>
        <v/>
      </c>
      <c r="I935" s="3" t="str">
        <f t="shared" ca="1" si="29"/>
        <v/>
      </c>
      <c r="J935" s="5"/>
      <c r="K935" s="6"/>
      <c r="L935" s="5"/>
      <c r="M935" s="6"/>
      <c r="N935" s="6"/>
      <c r="O935" s="6"/>
    </row>
    <row r="936" spans="1:15">
      <c r="A936" s="3" t="str">
        <f t="shared" si="28"/>
        <v/>
      </c>
      <c r="B936" s="3"/>
      <c r="C936" s="22"/>
      <c r="D936" s="4" t="str">
        <f>IF(C936="","",IFERROR(VLOOKUP(C936,'Calibrated Tools Register'!B:C,2,FALSE),"NOT registered"))</f>
        <v/>
      </c>
      <c r="E936" s="3"/>
      <c r="F936" s="4"/>
      <c r="G936" s="3"/>
      <c r="H936" s="3" t="str">
        <f ca="1">IFERROR(VLOOKUP(C936,'Calibrated Tools Register'!B:M,12,FALSE)-TODAY(),"")</f>
        <v/>
      </c>
      <c r="I936" s="3" t="str">
        <f t="shared" ca="1" si="29"/>
        <v/>
      </c>
      <c r="J936" s="3"/>
      <c r="K936" s="4"/>
      <c r="L936" s="3"/>
      <c r="M936" s="4"/>
      <c r="N936" s="4"/>
      <c r="O936" s="4"/>
    </row>
    <row r="937" spans="1:15">
      <c r="A937" s="3" t="str">
        <f t="shared" si="28"/>
        <v/>
      </c>
      <c r="B937" s="5"/>
      <c r="C937" s="23"/>
      <c r="D937" s="4" t="str">
        <f>IF(C937="","",IFERROR(VLOOKUP(C937,'Calibrated Tools Register'!B:C,2,FALSE),"NOT registered"))</f>
        <v/>
      </c>
      <c r="E937" s="5"/>
      <c r="F937" s="6"/>
      <c r="G937" s="5"/>
      <c r="H937" s="5" t="str">
        <f ca="1">IFERROR(VLOOKUP(C937,'Calibrated Tools Register'!B:M,12,FALSE)-TODAY(),"")</f>
        <v/>
      </c>
      <c r="I937" s="3" t="str">
        <f t="shared" ca="1" si="29"/>
        <v/>
      </c>
      <c r="J937" s="5"/>
      <c r="K937" s="6"/>
      <c r="L937" s="5"/>
      <c r="M937" s="6"/>
      <c r="N937" s="6"/>
      <c r="O937" s="6"/>
    </row>
    <row r="938" spans="1:15">
      <c r="A938" s="3" t="str">
        <f t="shared" si="28"/>
        <v/>
      </c>
      <c r="B938" s="3"/>
      <c r="C938" s="22"/>
      <c r="D938" s="4" t="str">
        <f>IF(C938="","",IFERROR(VLOOKUP(C938,'Calibrated Tools Register'!B:C,2,FALSE),"NOT registered"))</f>
        <v/>
      </c>
      <c r="E938" s="3"/>
      <c r="F938" s="4"/>
      <c r="G938" s="3"/>
      <c r="H938" s="3" t="str">
        <f ca="1">IFERROR(VLOOKUP(C938,'Calibrated Tools Register'!B:M,12,FALSE)-TODAY(),"")</f>
        <v/>
      </c>
      <c r="I938" s="3" t="str">
        <f t="shared" ca="1" si="29"/>
        <v/>
      </c>
      <c r="J938" s="3"/>
      <c r="K938" s="4"/>
      <c r="L938" s="3"/>
      <c r="M938" s="4"/>
      <c r="N938" s="4"/>
      <c r="O938" s="4"/>
    </row>
    <row r="939" spans="1:15">
      <c r="A939" s="3" t="str">
        <f t="shared" si="28"/>
        <v/>
      </c>
      <c r="B939" s="5"/>
      <c r="C939" s="23"/>
      <c r="D939" s="4" t="str">
        <f>IF(C939="","",IFERROR(VLOOKUP(C939,'Calibrated Tools Register'!B:C,2,FALSE),"NOT registered"))</f>
        <v/>
      </c>
      <c r="E939" s="5"/>
      <c r="F939" s="6"/>
      <c r="G939" s="5"/>
      <c r="H939" s="5" t="str">
        <f ca="1">IFERROR(VLOOKUP(C939,'Calibrated Tools Register'!B:M,12,FALSE)-TODAY(),"")</f>
        <v/>
      </c>
      <c r="I939" s="3" t="str">
        <f t="shared" ca="1" si="29"/>
        <v/>
      </c>
      <c r="J939" s="5"/>
      <c r="K939" s="6"/>
      <c r="L939" s="5"/>
      <c r="M939" s="6"/>
      <c r="N939" s="6"/>
      <c r="O939" s="6"/>
    </row>
    <row r="940" spans="1:15">
      <c r="A940" s="3" t="str">
        <f t="shared" si="28"/>
        <v/>
      </c>
      <c r="B940" s="3"/>
      <c r="C940" s="22"/>
      <c r="D940" s="4" t="str">
        <f>IF(C940="","",IFERROR(VLOOKUP(C940,'Calibrated Tools Register'!B:C,2,FALSE),"NOT registered"))</f>
        <v/>
      </c>
      <c r="E940" s="3"/>
      <c r="F940" s="4"/>
      <c r="G940" s="3"/>
      <c r="H940" s="3" t="str">
        <f ca="1">IFERROR(VLOOKUP(C940,'Calibrated Tools Register'!B:M,12,FALSE)-TODAY(),"")</f>
        <v/>
      </c>
      <c r="I940" s="3" t="str">
        <f t="shared" ca="1" si="29"/>
        <v/>
      </c>
      <c r="J940" s="3"/>
      <c r="K940" s="4"/>
      <c r="L940" s="3"/>
      <c r="M940" s="4"/>
      <c r="N940" s="4"/>
      <c r="O940" s="4"/>
    </row>
    <row r="941" spans="1:15">
      <c r="A941" s="3" t="str">
        <f t="shared" si="28"/>
        <v/>
      </c>
      <c r="B941" s="5"/>
      <c r="C941" s="23"/>
      <c r="D941" s="4" t="str">
        <f>IF(C941="","",IFERROR(VLOOKUP(C941,'Calibrated Tools Register'!B:C,2,FALSE),"NOT registered"))</f>
        <v/>
      </c>
      <c r="E941" s="5"/>
      <c r="F941" s="6"/>
      <c r="G941" s="5"/>
      <c r="H941" s="5" t="str">
        <f ca="1">IFERROR(VLOOKUP(C941,'Calibrated Tools Register'!B:M,12,FALSE)-TODAY(),"")</f>
        <v/>
      </c>
      <c r="I941" s="3" t="str">
        <f t="shared" ca="1" si="29"/>
        <v/>
      </c>
      <c r="J941" s="5"/>
      <c r="K941" s="6"/>
      <c r="L941" s="5"/>
      <c r="M941" s="6"/>
      <c r="N941" s="6"/>
      <c r="O941" s="6"/>
    </row>
    <row r="942" spans="1:15">
      <c r="A942" s="3" t="str">
        <f t="shared" si="28"/>
        <v/>
      </c>
      <c r="B942" s="3"/>
      <c r="C942" s="22"/>
      <c r="D942" s="4" t="str">
        <f>IF(C942="","",IFERROR(VLOOKUP(C942,'Calibrated Tools Register'!B:C,2,FALSE),"NOT registered"))</f>
        <v/>
      </c>
      <c r="E942" s="3"/>
      <c r="F942" s="4"/>
      <c r="G942" s="3"/>
      <c r="H942" s="3" t="str">
        <f ca="1">IFERROR(VLOOKUP(C942,'Calibrated Tools Register'!B:M,12,FALSE)-TODAY(),"")</f>
        <v/>
      </c>
      <c r="I942" s="3" t="str">
        <f t="shared" ca="1" si="29"/>
        <v/>
      </c>
      <c r="J942" s="3"/>
      <c r="K942" s="4"/>
      <c r="L942" s="3"/>
      <c r="M942" s="4"/>
      <c r="N942" s="4"/>
      <c r="O942" s="4"/>
    </row>
    <row r="943" spans="1:15">
      <c r="A943" s="3" t="str">
        <f t="shared" si="28"/>
        <v/>
      </c>
      <c r="B943" s="5"/>
      <c r="C943" s="23"/>
      <c r="D943" s="4" t="str">
        <f>IF(C943="","",IFERROR(VLOOKUP(C943,'Calibrated Tools Register'!B:C,2,FALSE),"NOT registered"))</f>
        <v/>
      </c>
      <c r="E943" s="5"/>
      <c r="F943" s="6"/>
      <c r="G943" s="5"/>
      <c r="H943" s="5" t="str">
        <f ca="1">IFERROR(VLOOKUP(C943,'Calibrated Tools Register'!B:M,12,FALSE)-TODAY(),"")</f>
        <v/>
      </c>
      <c r="I943" s="3" t="str">
        <f t="shared" ca="1" si="29"/>
        <v/>
      </c>
      <c r="J943" s="5"/>
      <c r="K943" s="6"/>
      <c r="L943" s="5"/>
      <c r="M943" s="6"/>
      <c r="N943" s="6"/>
      <c r="O943" s="6"/>
    </row>
    <row r="944" spans="1:15">
      <c r="A944" s="3" t="str">
        <f t="shared" si="28"/>
        <v/>
      </c>
      <c r="B944" s="3"/>
      <c r="C944" s="22"/>
      <c r="D944" s="4" t="str">
        <f>IF(C944="","",IFERROR(VLOOKUP(C944,'Calibrated Tools Register'!B:C,2,FALSE),"NOT registered"))</f>
        <v/>
      </c>
      <c r="E944" s="3"/>
      <c r="F944" s="4"/>
      <c r="G944" s="3"/>
      <c r="H944" s="3" t="str">
        <f ca="1">IFERROR(VLOOKUP(C944,'Calibrated Tools Register'!B:M,12,FALSE)-TODAY(),"")</f>
        <v/>
      </c>
      <c r="I944" s="3" t="str">
        <f t="shared" ca="1" si="29"/>
        <v/>
      </c>
      <c r="J944" s="3"/>
      <c r="K944" s="4"/>
      <c r="L944" s="3"/>
      <c r="M944" s="4"/>
      <c r="N944" s="4"/>
      <c r="O944" s="4"/>
    </row>
    <row r="945" spans="1:15">
      <c r="A945" s="3" t="str">
        <f t="shared" si="28"/>
        <v/>
      </c>
      <c r="B945" s="5"/>
      <c r="C945" s="23"/>
      <c r="D945" s="4" t="str">
        <f>IF(C945="","",IFERROR(VLOOKUP(C945,'Calibrated Tools Register'!B:C,2,FALSE),"NOT registered"))</f>
        <v/>
      </c>
      <c r="E945" s="5"/>
      <c r="F945" s="6"/>
      <c r="G945" s="5"/>
      <c r="H945" s="5" t="str">
        <f ca="1">IFERROR(VLOOKUP(C945,'Calibrated Tools Register'!B:M,12,FALSE)-TODAY(),"")</f>
        <v/>
      </c>
      <c r="I945" s="3" t="str">
        <f t="shared" ca="1" si="29"/>
        <v/>
      </c>
      <c r="J945" s="5"/>
      <c r="K945" s="6"/>
      <c r="L945" s="5"/>
      <c r="M945" s="6"/>
      <c r="N945" s="6"/>
      <c r="O945" s="6"/>
    </row>
    <row r="946" spans="1:15">
      <c r="A946" s="3" t="str">
        <f t="shared" si="28"/>
        <v/>
      </c>
      <c r="B946" s="3"/>
      <c r="C946" s="22"/>
      <c r="D946" s="4" t="str">
        <f>IF(C946="","",IFERROR(VLOOKUP(C946,'Calibrated Tools Register'!B:C,2,FALSE),"NOT registered"))</f>
        <v/>
      </c>
      <c r="E946" s="3"/>
      <c r="F946" s="4"/>
      <c r="G946" s="3"/>
      <c r="H946" s="3" t="str">
        <f ca="1">IFERROR(VLOOKUP(C946,'Calibrated Tools Register'!B:M,12,FALSE)-TODAY(),"")</f>
        <v/>
      </c>
      <c r="I946" s="3" t="str">
        <f t="shared" ca="1" si="29"/>
        <v/>
      </c>
      <c r="J946" s="3"/>
      <c r="K946" s="4"/>
      <c r="L946" s="3"/>
      <c r="M946" s="4"/>
      <c r="N946" s="4"/>
      <c r="O946" s="4"/>
    </row>
    <row r="947" spans="1:15">
      <c r="A947" s="3" t="str">
        <f t="shared" si="28"/>
        <v/>
      </c>
      <c r="B947" s="5"/>
      <c r="C947" s="23"/>
      <c r="D947" s="4" t="str">
        <f>IF(C947="","",IFERROR(VLOOKUP(C947,'Calibrated Tools Register'!B:C,2,FALSE),"NOT registered"))</f>
        <v/>
      </c>
      <c r="E947" s="5"/>
      <c r="F947" s="6"/>
      <c r="G947" s="5"/>
      <c r="H947" s="5" t="str">
        <f ca="1">IFERROR(VLOOKUP(C947,'Calibrated Tools Register'!B:M,12,FALSE)-TODAY(),"")</f>
        <v/>
      </c>
      <c r="I947" s="3" t="str">
        <f t="shared" ca="1" si="29"/>
        <v/>
      </c>
      <c r="J947" s="5"/>
      <c r="K947" s="6"/>
      <c r="L947" s="5"/>
      <c r="M947" s="6"/>
      <c r="N947" s="6"/>
      <c r="O947" s="6"/>
    </row>
    <row r="948" spans="1:15">
      <c r="A948" s="3" t="str">
        <f t="shared" si="28"/>
        <v/>
      </c>
      <c r="B948" s="3"/>
      <c r="C948" s="22"/>
      <c r="D948" s="4" t="str">
        <f>IF(C948="","",IFERROR(VLOOKUP(C948,'Calibrated Tools Register'!B:C,2,FALSE),"NOT registered"))</f>
        <v/>
      </c>
      <c r="E948" s="3"/>
      <c r="F948" s="4"/>
      <c r="G948" s="3"/>
      <c r="H948" s="3" t="str">
        <f ca="1">IFERROR(VLOOKUP(C948,'Calibrated Tools Register'!B:M,12,FALSE)-TODAY(),"")</f>
        <v/>
      </c>
      <c r="I948" s="3" t="str">
        <f t="shared" ca="1" si="29"/>
        <v/>
      </c>
      <c r="J948" s="3"/>
      <c r="K948" s="4"/>
      <c r="L948" s="3"/>
      <c r="M948" s="4"/>
      <c r="N948" s="4"/>
      <c r="O948" s="4"/>
    </row>
    <row r="949" spans="1:15">
      <c r="A949" s="3" t="str">
        <f t="shared" si="28"/>
        <v/>
      </c>
      <c r="B949" s="5"/>
      <c r="C949" s="23"/>
      <c r="D949" s="4" t="str">
        <f>IF(C949="","",IFERROR(VLOOKUP(C949,'Calibrated Tools Register'!B:C,2,FALSE),"NOT registered"))</f>
        <v/>
      </c>
      <c r="E949" s="5"/>
      <c r="F949" s="6"/>
      <c r="G949" s="5"/>
      <c r="H949" s="5" t="str">
        <f ca="1">IFERROR(VLOOKUP(C949,'Calibrated Tools Register'!B:M,12,FALSE)-TODAY(),"")</f>
        <v/>
      </c>
      <c r="I949" s="3" t="str">
        <f t="shared" ca="1" si="29"/>
        <v/>
      </c>
      <c r="J949" s="5"/>
      <c r="K949" s="6"/>
      <c r="L949" s="5"/>
      <c r="M949" s="6"/>
      <c r="N949" s="6"/>
      <c r="O949" s="6"/>
    </row>
    <row r="950" spans="1:15">
      <c r="A950" s="3" t="str">
        <f t="shared" si="28"/>
        <v/>
      </c>
      <c r="B950" s="3"/>
      <c r="C950" s="22"/>
      <c r="D950" s="4" t="str">
        <f>IF(C950="","",IFERROR(VLOOKUP(C950,'Calibrated Tools Register'!B:C,2,FALSE),"NOT registered"))</f>
        <v/>
      </c>
      <c r="E950" s="3"/>
      <c r="F950" s="4"/>
      <c r="G950" s="3"/>
      <c r="H950" s="3" t="str">
        <f ca="1">IFERROR(VLOOKUP(C950,'Calibrated Tools Register'!B:M,12,FALSE)-TODAY(),"")</f>
        <v/>
      </c>
      <c r="I950" s="3" t="str">
        <f t="shared" ca="1" si="29"/>
        <v/>
      </c>
      <c r="J950" s="3"/>
      <c r="K950" s="4"/>
      <c r="L950" s="3"/>
      <c r="M950" s="4"/>
      <c r="N950" s="4"/>
      <c r="O950" s="4"/>
    </row>
    <row r="951" spans="1:15">
      <c r="A951" s="3" t="str">
        <f t="shared" si="28"/>
        <v/>
      </c>
      <c r="B951" s="5"/>
      <c r="C951" s="23"/>
      <c r="D951" s="4" t="str">
        <f>IF(C951="","",IFERROR(VLOOKUP(C951,'Calibrated Tools Register'!B:C,2,FALSE),"NOT registered"))</f>
        <v/>
      </c>
      <c r="E951" s="5"/>
      <c r="F951" s="6"/>
      <c r="G951" s="5"/>
      <c r="H951" s="5" t="str">
        <f ca="1">IFERROR(VLOOKUP(C951,'Calibrated Tools Register'!B:M,12,FALSE)-TODAY(),"")</f>
        <v/>
      </c>
      <c r="I951" s="3" t="str">
        <f t="shared" ca="1" si="29"/>
        <v/>
      </c>
      <c r="J951" s="5"/>
      <c r="K951" s="6"/>
      <c r="L951" s="5"/>
      <c r="M951" s="6"/>
      <c r="N951" s="6"/>
      <c r="O951" s="6"/>
    </row>
    <row r="952" spans="1:15">
      <c r="A952" s="3" t="str">
        <f t="shared" si="28"/>
        <v/>
      </c>
      <c r="B952" s="3"/>
      <c r="C952" s="22"/>
      <c r="D952" s="4" t="str">
        <f>IF(C952="","",IFERROR(VLOOKUP(C952,'Calibrated Tools Register'!B:C,2,FALSE),"NOT registered"))</f>
        <v/>
      </c>
      <c r="E952" s="3"/>
      <c r="F952" s="4"/>
      <c r="G952" s="3"/>
      <c r="H952" s="3" t="str">
        <f ca="1">IFERROR(VLOOKUP(C952,'Calibrated Tools Register'!B:M,12,FALSE)-TODAY(),"")</f>
        <v/>
      </c>
      <c r="I952" s="3" t="str">
        <f t="shared" ca="1" si="29"/>
        <v/>
      </c>
      <c r="J952" s="3"/>
      <c r="K952" s="4"/>
      <c r="L952" s="3"/>
      <c r="M952" s="4"/>
      <c r="N952" s="4"/>
      <c r="O952" s="4"/>
    </row>
    <row r="953" spans="1:15">
      <c r="A953" s="3" t="str">
        <f t="shared" si="28"/>
        <v/>
      </c>
      <c r="B953" s="5"/>
      <c r="C953" s="23"/>
      <c r="D953" s="4" t="str">
        <f>IF(C953="","",IFERROR(VLOOKUP(C953,'Calibrated Tools Register'!B:C,2,FALSE),"NOT registered"))</f>
        <v/>
      </c>
      <c r="E953" s="5"/>
      <c r="F953" s="6"/>
      <c r="G953" s="5"/>
      <c r="H953" s="5" t="str">
        <f ca="1">IFERROR(VLOOKUP(C953,'Calibrated Tools Register'!B:M,12,FALSE)-TODAY(),"")</f>
        <v/>
      </c>
      <c r="I953" s="3" t="str">
        <f t="shared" ca="1" si="29"/>
        <v/>
      </c>
      <c r="J953" s="5"/>
      <c r="K953" s="6"/>
      <c r="L953" s="5"/>
      <c r="M953" s="6"/>
      <c r="N953" s="6"/>
      <c r="O953" s="6"/>
    </row>
    <row r="954" spans="1:15">
      <c r="A954" s="3" t="str">
        <f t="shared" si="28"/>
        <v/>
      </c>
      <c r="B954" s="3"/>
      <c r="C954" s="22"/>
      <c r="D954" s="4" t="str">
        <f>IF(C954="","",IFERROR(VLOOKUP(C954,'Calibrated Tools Register'!B:C,2,FALSE),"NOT registered"))</f>
        <v/>
      </c>
      <c r="E954" s="3"/>
      <c r="F954" s="4"/>
      <c r="G954" s="3"/>
      <c r="H954" s="3" t="str">
        <f ca="1">IFERROR(VLOOKUP(C954,'Calibrated Tools Register'!B:M,12,FALSE)-TODAY(),"")</f>
        <v/>
      </c>
      <c r="I954" s="3" t="str">
        <f t="shared" ca="1" si="29"/>
        <v/>
      </c>
      <c r="J954" s="3"/>
      <c r="K954" s="4"/>
      <c r="L954" s="3"/>
      <c r="M954" s="4"/>
      <c r="N954" s="4"/>
      <c r="O954" s="4"/>
    </row>
    <row r="955" spans="1:15">
      <c r="A955" s="3" t="str">
        <f t="shared" si="28"/>
        <v/>
      </c>
      <c r="B955" s="5"/>
      <c r="C955" s="23"/>
      <c r="D955" s="4" t="str">
        <f>IF(C955="","",IFERROR(VLOOKUP(C955,'Calibrated Tools Register'!B:C,2,FALSE),"NOT registered"))</f>
        <v/>
      </c>
      <c r="E955" s="5"/>
      <c r="F955" s="6"/>
      <c r="G955" s="5"/>
      <c r="H955" s="5" t="str">
        <f ca="1">IFERROR(VLOOKUP(C955,'Calibrated Tools Register'!B:M,12,FALSE)-TODAY(),"")</f>
        <v/>
      </c>
      <c r="I955" s="3" t="str">
        <f t="shared" ca="1" si="29"/>
        <v/>
      </c>
      <c r="J955" s="5"/>
      <c r="K955" s="6"/>
      <c r="L955" s="5"/>
      <c r="M955" s="6"/>
      <c r="N955" s="6"/>
      <c r="O955" s="6"/>
    </row>
    <row r="956" spans="1:15">
      <c r="A956" s="3" t="str">
        <f t="shared" si="28"/>
        <v/>
      </c>
      <c r="B956" s="3"/>
      <c r="C956" s="22"/>
      <c r="D956" s="4" t="str">
        <f>IF(C956="","",IFERROR(VLOOKUP(C956,'Calibrated Tools Register'!B:C,2,FALSE),"NOT registered"))</f>
        <v/>
      </c>
      <c r="E956" s="3"/>
      <c r="F956" s="4"/>
      <c r="G956" s="3"/>
      <c r="H956" s="3" t="str">
        <f ca="1">IFERROR(VLOOKUP(C956,'Calibrated Tools Register'!B:M,12,FALSE)-TODAY(),"")</f>
        <v/>
      </c>
      <c r="I956" s="3" t="str">
        <f t="shared" ca="1" si="29"/>
        <v/>
      </c>
      <c r="J956" s="3"/>
      <c r="K956" s="4"/>
      <c r="L956" s="3"/>
      <c r="M956" s="4"/>
      <c r="N956" s="4"/>
      <c r="O956" s="4"/>
    </row>
    <row r="957" spans="1:15">
      <c r="A957" s="3" t="str">
        <f t="shared" si="28"/>
        <v/>
      </c>
      <c r="B957" s="5"/>
      <c r="C957" s="23"/>
      <c r="D957" s="4" t="str">
        <f>IF(C957="","",IFERROR(VLOOKUP(C957,'Calibrated Tools Register'!B:C,2,FALSE),"NOT registered"))</f>
        <v/>
      </c>
      <c r="E957" s="5"/>
      <c r="F957" s="6"/>
      <c r="G957" s="5"/>
      <c r="H957" s="5" t="str">
        <f ca="1">IFERROR(VLOOKUP(C957,'Calibrated Tools Register'!B:M,12,FALSE)-TODAY(),"")</f>
        <v/>
      </c>
      <c r="I957" s="3" t="str">
        <f t="shared" ca="1" si="29"/>
        <v/>
      </c>
      <c r="J957" s="5"/>
      <c r="K957" s="6"/>
      <c r="L957" s="5"/>
      <c r="M957" s="6"/>
      <c r="N957" s="6"/>
      <c r="O957" s="6"/>
    </row>
    <row r="958" spans="1:15">
      <c r="A958" s="3" t="str">
        <f t="shared" si="28"/>
        <v/>
      </c>
      <c r="B958" s="3"/>
      <c r="C958" s="22"/>
      <c r="D958" s="4" t="str">
        <f>IF(C958="","",IFERROR(VLOOKUP(C958,'Calibrated Tools Register'!B:C,2,FALSE),"NOT registered"))</f>
        <v/>
      </c>
      <c r="E958" s="3"/>
      <c r="F958" s="4"/>
      <c r="G958" s="3"/>
      <c r="H958" s="3" t="str">
        <f ca="1">IFERROR(VLOOKUP(C958,'Calibrated Tools Register'!B:M,12,FALSE)-TODAY(),"")</f>
        <v/>
      </c>
      <c r="I958" s="3" t="str">
        <f t="shared" ca="1" si="29"/>
        <v/>
      </c>
      <c r="J958" s="3"/>
      <c r="K958" s="4"/>
      <c r="L958" s="3"/>
      <c r="M958" s="4"/>
      <c r="N958" s="4"/>
      <c r="O958" s="4"/>
    </row>
    <row r="959" spans="1:15">
      <c r="A959" s="3" t="str">
        <f t="shared" si="28"/>
        <v/>
      </c>
      <c r="B959" s="5"/>
      <c r="C959" s="23"/>
      <c r="D959" s="4" t="str">
        <f>IF(C959="","",IFERROR(VLOOKUP(C959,'Calibrated Tools Register'!B:C,2,FALSE),"NOT registered"))</f>
        <v/>
      </c>
      <c r="E959" s="5"/>
      <c r="F959" s="6"/>
      <c r="G959" s="5"/>
      <c r="H959" s="5" t="str">
        <f ca="1">IFERROR(VLOOKUP(C959,'Calibrated Tools Register'!B:M,12,FALSE)-TODAY(),"")</f>
        <v/>
      </c>
      <c r="I959" s="3" t="str">
        <f t="shared" ca="1" si="29"/>
        <v/>
      </c>
      <c r="J959" s="5"/>
      <c r="K959" s="6"/>
      <c r="L959" s="5"/>
      <c r="M959" s="6"/>
      <c r="N959" s="6"/>
      <c r="O959" s="6"/>
    </row>
    <row r="960" spans="1:15">
      <c r="A960" s="3" t="str">
        <f t="shared" si="28"/>
        <v/>
      </c>
      <c r="B960" s="3"/>
      <c r="C960" s="22"/>
      <c r="D960" s="4" t="str">
        <f>IF(C960="","",IFERROR(VLOOKUP(C960,'Calibrated Tools Register'!B:C,2,FALSE),"NOT registered"))</f>
        <v/>
      </c>
      <c r="E960" s="3"/>
      <c r="F960" s="4"/>
      <c r="G960" s="3"/>
      <c r="H960" s="3" t="str">
        <f ca="1">IFERROR(VLOOKUP(C960,'Calibrated Tools Register'!B:M,12,FALSE)-TODAY(),"")</f>
        <v/>
      </c>
      <c r="I960" s="3" t="str">
        <f t="shared" ca="1" si="29"/>
        <v/>
      </c>
      <c r="J960" s="3"/>
      <c r="K960" s="4"/>
      <c r="L960" s="3"/>
      <c r="M960" s="4"/>
      <c r="N960" s="4"/>
      <c r="O960" s="4"/>
    </row>
    <row r="961" spans="1:15">
      <c r="A961" s="3" t="str">
        <f t="shared" si="28"/>
        <v/>
      </c>
      <c r="B961" s="5"/>
      <c r="C961" s="23"/>
      <c r="D961" s="4" t="str">
        <f>IF(C961="","",IFERROR(VLOOKUP(C961,'Calibrated Tools Register'!B:C,2,FALSE),"NOT registered"))</f>
        <v/>
      </c>
      <c r="E961" s="5"/>
      <c r="F961" s="6"/>
      <c r="G961" s="5"/>
      <c r="H961" s="5" t="str">
        <f ca="1">IFERROR(VLOOKUP(C961,'Calibrated Tools Register'!B:M,12,FALSE)-TODAY(),"")</f>
        <v/>
      </c>
      <c r="I961" s="3" t="str">
        <f t="shared" ca="1" si="29"/>
        <v/>
      </c>
      <c r="J961" s="5"/>
      <c r="K961" s="6"/>
      <c r="L961" s="5"/>
      <c r="M961" s="6"/>
      <c r="N961" s="6"/>
      <c r="O961" s="6"/>
    </row>
    <row r="962" spans="1:15">
      <c r="A962" s="3" t="str">
        <f t="shared" si="28"/>
        <v/>
      </c>
      <c r="B962" s="3"/>
      <c r="C962" s="22"/>
      <c r="D962" s="4" t="str">
        <f>IF(C962="","",IFERROR(VLOOKUP(C962,'Calibrated Tools Register'!B:C,2,FALSE),"NOT registered"))</f>
        <v/>
      </c>
      <c r="E962" s="3"/>
      <c r="F962" s="4"/>
      <c r="G962" s="3"/>
      <c r="H962" s="3" t="str">
        <f ca="1">IFERROR(VLOOKUP(C962,'Calibrated Tools Register'!B:M,12,FALSE)-TODAY(),"")</f>
        <v/>
      </c>
      <c r="I962" s="3" t="str">
        <f t="shared" ca="1" si="29"/>
        <v/>
      </c>
      <c r="J962" s="3"/>
      <c r="K962" s="4"/>
      <c r="L962" s="3"/>
      <c r="M962" s="4"/>
      <c r="N962" s="4"/>
      <c r="O962" s="4"/>
    </row>
    <row r="963" spans="1:15">
      <c r="A963" s="3" t="str">
        <f t="shared" si="28"/>
        <v/>
      </c>
      <c r="B963" s="5"/>
      <c r="C963" s="23"/>
      <c r="D963" s="4" t="str">
        <f>IF(C963="","",IFERROR(VLOOKUP(C963,'Calibrated Tools Register'!B:C,2,FALSE),"NOT registered"))</f>
        <v/>
      </c>
      <c r="E963" s="5"/>
      <c r="F963" s="6"/>
      <c r="G963" s="5"/>
      <c r="H963" s="5" t="str">
        <f ca="1">IFERROR(VLOOKUP(C963,'Calibrated Tools Register'!B:M,12,FALSE)-TODAY(),"")</f>
        <v/>
      </c>
      <c r="I963" s="3" t="str">
        <f t="shared" ca="1" si="29"/>
        <v/>
      </c>
      <c r="J963" s="5"/>
      <c r="K963" s="6"/>
      <c r="L963" s="5"/>
      <c r="M963" s="6"/>
      <c r="N963" s="6"/>
      <c r="O963" s="6"/>
    </row>
    <row r="964" spans="1:15">
      <c r="A964" s="3" t="str">
        <f t="shared" ref="A964:A1003" si="30">IF(C964="","",ROW(C964)-3)</f>
        <v/>
      </c>
      <c r="B964" s="3"/>
      <c r="C964" s="22"/>
      <c r="D964" s="4" t="str">
        <f>IF(C964="","",IFERROR(VLOOKUP(C964,'Calibrated Tools Register'!B:C,2,FALSE),"NOT registered"))</f>
        <v/>
      </c>
      <c r="E964" s="3"/>
      <c r="F964" s="4"/>
      <c r="G964" s="3"/>
      <c r="H964" s="3" t="str">
        <f ca="1">IFERROR(VLOOKUP(C964,'Calibrated Tools Register'!B:M,12,FALSE)-TODAY(),"")</f>
        <v/>
      </c>
      <c r="I964" s="3" t="str">
        <f t="shared" ca="1" si="29"/>
        <v/>
      </c>
      <c r="J964" s="3"/>
      <c r="K964" s="4"/>
      <c r="L964" s="3"/>
      <c r="M964" s="4"/>
      <c r="N964" s="4"/>
      <c r="O964" s="4"/>
    </row>
    <row r="965" spans="1:15">
      <c r="A965" s="3" t="str">
        <f t="shared" si="30"/>
        <v/>
      </c>
      <c r="B965" s="5"/>
      <c r="C965" s="23"/>
      <c r="D965" s="4" t="str">
        <f>IF(C965="","",IFERROR(VLOOKUP(C965,'Calibrated Tools Register'!B:C,2,FALSE),"NOT registered"))</f>
        <v/>
      </c>
      <c r="E965" s="5"/>
      <c r="F965" s="6"/>
      <c r="G965" s="5"/>
      <c r="H965" s="5" t="str">
        <f ca="1">IFERROR(VLOOKUP(C965,'Calibrated Tools Register'!B:M,12,FALSE)-TODAY(),"")</f>
        <v/>
      </c>
      <c r="I965" s="3" t="str">
        <f t="shared" ref="I965:I1003" ca="1" si="31">IF(H965="","",IF(H965&lt;=0,"Urgent",IF(H965&lt;=30,"High",IF(H965&lt;=45,"Medium","Low"))))</f>
        <v/>
      </c>
      <c r="J965" s="5"/>
      <c r="K965" s="6"/>
      <c r="L965" s="5"/>
      <c r="M965" s="6"/>
      <c r="N965" s="6"/>
      <c r="O965" s="6"/>
    </row>
    <row r="966" spans="1:15">
      <c r="A966" s="3" t="str">
        <f t="shared" si="30"/>
        <v/>
      </c>
      <c r="B966" s="3"/>
      <c r="C966" s="22"/>
      <c r="D966" s="4" t="str">
        <f>IF(C966="","",IFERROR(VLOOKUP(C966,'Calibrated Tools Register'!B:C,2,FALSE),"NOT registered"))</f>
        <v/>
      </c>
      <c r="E966" s="3"/>
      <c r="F966" s="4"/>
      <c r="G966" s="3"/>
      <c r="H966" s="3" t="str">
        <f ca="1">IFERROR(VLOOKUP(C966,'Calibrated Tools Register'!B:M,12,FALSE)-TODAY(),"")</f>
        <v/>
      </c>
      <c r="I966" s="3" t="str">
        <f t="shared" ca="1" si="31"/>
        <v/>
      </c>
      <c r="J966" s="3"/>
      <c r="K966" s="4"/>
      <c r="L966" s="3"/>
      <c r="M966" s="4"/>
      <c r="N966" s="4"/>
      <c r="O966" s="4"/>
    </row>
    <row r="967" spans="1:15">
      <c r="A967" s="3" t="str">
        <f t="shared" si="30"/>
        <v/>
      </c>
      <c r="B967" s="5"/>
      <c r="C967" s="23"/>
      <c r="D967" s="4" t="str">
        <f>IF(C967="","",IFERROR(VLOOKUP(C967,'Calibrated Tools Register'!B:C,2,FALSE),"NOT registered"))</f>
        <v/>
      </c>
      <c r="E967" s="5"/>
      <c r="F967" s="6"/>
      <c r="G967" s="5"/>
      <c r="H967" s="5" t="str">
        <f ca="1">IFERROR(VLOOKUP(C967,'Calibrated Tools Register'!B:M,12,FALSE)-TODAY(),"")</f>
        <v/>
      </c>
      <c r="I967" s="3" t="str">
        <f t="shared" ca="1" si="31"/>
        <v/>
      </c>
      <c r="J967" s="5"/>
      <c r="K967" s="6"/>
      <c r="L967" s="5"/>
      <c r="M967" s="6"/>
      <c r="N967" s="6"/>
      <c r="O967" s="6"/>
    </row>
    <row r="968" spans="1:15">
      <c r="A968" s="3" t="str">
        <f t="shared" si="30"/>
        <v/>
      </c>
      <c r="B968" s="3"/>
      <c r="C968" s="22"/>
      <c r="D968" s="4" t="str">
        <f>IF(C968="","",IFERROR(VLOOKUP(C968,'Calibrated Tools Register'!B:C,2,FALSE),"NOT registered"))</f>
        <v/>
      </c>
      <c r="E968" s="3"/>
      <c r="F968" s="4"/>
      <c r="G968" s="3"/>
      <c r="H968" s="3" t="str">
        <f ca="1">IFERROR(VLOOKUP(C968,'Calibrated Tools Register'!B:M,12,FALSE)-TODAY(),"")</f>
        <v/>
      </c>
      <c r="I968" s="3" t="str">
        <f t="shared" ca="1" si="31"/>
        <v/>
      </c>
      <c r="J968" s="3"/>
      <c r="K968" s="4"/>
      <c r="L968" s="3"/>
      <c r="M968" s="4"/>
      <c r="N968" s="4"/>
      <c r="O968" s="4"/>
    </row>
    <row r="969" spans="1:15">
      <c r="A969" s="3" t="str">
        <f t="shared" si="30"/>
        <v/>
      </c>
      <c r="B969" s="5"/>
      <c r="C969" s="23"/>
      <c r="D969" s="4" t="str">
        <f>IF(C969="","",IFERROR(VLOOKUP(C969,'Calibrated Tools Register'!B:C,2,FALSE),"NOT registered"))</f>
        <v/>
      </c>
      <c r="E969" s="5"/>
      <c r="F969" s="6"/>
      <c r="G969" s="5"/>
      <c r="H969" s="5" t="str">
        <f ca="1">IFERROR(VLOOKUP(C969,'Calibrated Tools Register'!B:M,12,FALSE)-TODAY(),"")</f>
        <v/>
      </c>
      <c r="I969" s="3" t="str">
        <f t="shared" ca="1" si="31"/>
        <v/>
      </c>
      <c r="J969" s="5"/>
      <c r="K969" s="6"/>
      <c r="L969" s="5"/>
      <c r="M969" s="6"/>
      <c r="N969" s="6"/>
      <c r="O969" s="6"/>
    </row>
    <row r="970" spans="1:15">
      <c r="A970" s="3" t="str">
        <f t="shared" si="30"/>
        <v/>
      </c>
      <c r="B970" s="3"/>
      <c r="C970" s="22"/>
      <c r="D970" s="4" t="str">
        <f>IF(C970="","",IFERROR(VLOOKUP(C970,'Calibrated Tools Register'!B:C,2,FALSE),"NOT registered"))</f>
        <v/>
      </c>
      <c r="E970" s="3"/>
      <c r="F970" s="4"/>
      <c r="G970" s="3"/>
      <c r="H970" s="3" t="str">
        <f ca="1">IFERROR(VLOOKUP(C970,'Calibrated Tools Register'!B:M,12,FALSE)-TODAY(),"")</f>
        <v/>
      </c>
      <c r="I970" s="3" t="str">
        <f t="shared" ca="1" si="31"/>
        <v/>
      </c>
      <c r="J970" s="3"/>
      <c r="K970" s="4"/>
      <c r="L970" s="3"/>
      <c r="M970" s="4"/>
      <c r="N970" s="4"/>
      <c r="O970" s="4"/>
    </row>
    <row r="971" spans="1:15">
      <c r="A971" s="3" t="str">
        <f t="shared" si="30"/>
        <v/>
      </c>
      <c r="B971" s="5"/>
      <c r="C971" s="23"/>
      <c r="D971" s="4" t="str">
        <f>IF(C971="","",IFERROR(VLOOKUP(C971,'Calibrated Tools Register'!B:C,2,FALSE),"NOT registered"))</f>
        <v/>
      </c>
      <c r="E971" s="5"/>
      <c r="F971" s="6"/>
      <c r="G971" s="5"/>
      <c r="H971" s="5" t="str">
        <f ca="1">IFERROR(VLOOKUP(C971,'Calibrated Tools Register'!B:M,12,FALSE)-TODAY(),"")</f>
        <v/>
      </c>
      <c r="I971" s="3" t="str">
        <f t="shared" ca="1" si="31"/>
        <v/>
      </c>
      <c r="J971" s="5"/>
      <c r="K971" s="6"/>
      <c r="L971" s="5"/>
      <c r="M971" s="6"/>
      <c r="N971" s="6"/>
      <c r="O971" s="6"/>
    </row>
    <row r="972" spans="1:15">
      <c r="A972" s="3" t="str">
        <f t="shared" si="30"/>
        <v/>
      </c>
      <c r="B972" s="3"/>
      <c r="C972" s="22"/>
      <c r="D972" s="4" t="str">
        <f>IF(C972="","",IFERROR(VLOOKUP(C972,'Calibrated Tools Register'!B:C,2,FALSE),"NOT registered"))</f>
        <v/>
      </c>
      <c r="E972" s="3"/>
      <c r="F972" s="4"/>
      <c r="G972" s="3"/>
      <c r="H972" s="3" t="str">
        <f ca="1">IFERROR(VLOOKUP(C972,'Calibrated Tools Register'!B:M,12,FALSE)-TODAY(),"")</f>
        <v/>
      </c>
      <c r="I972" s="3" t="str">
        <f t="shared" ca="1" si="31"/>
        <v/>
      </c>
      <c r="J972" s="3"/>
      <c r="K972" s="4"/>
      <c r="L972" s="3"/>
      <c r="M972" s="4"/>
      <c r="N972" s="4"/>
      <c r="O972" s="4"/>
    </row>
    <row r="973" spans="1:15">
      <c r="A973" s="3" t="str">
        <f t="shared" si="30"/>
        <v/>
      </c>
      <c r="B973" s="5"/>
      <c r="C973" s="23"/>
      <c r="D973" s="4" t="str">
        <f>IF(C973="","",IFERROR(VLOOKUP(C973,'Calibrated Tools Register'!B:C,2,FALSE),"NOT registered"))</f>
        <v/>
      </c>
      <c r="E973" s="5"/>
      <c r="F973" s="6"/>
      <c r="G973" s="5"/>
      <c r="H973" s="5" t="str">
        <f ca="1">IFERROR(VLOOKUP(C973,'Calibrated Tools Register'!B:M,12,FALSE)-TODAY(),"")</f>
        <v/>
      </c>
      <c r="I973" s="3" t="str">
        <f t="shared" ca="1" si="31"/>
        <v/>
      </c>
      <c r="J973" s="5"/>
      <c r="K973" s="6"/>
      <c r="L973" s="5"/>
      <c r="M973" s="6"/>
      <c r="N973" s="6"/>
      <c r="O973" s="6"/>
    </row>
    <row r="974" spans="1:15">
      <c r="A974" s="3" t="str">
        <f t="shared" si="30"/>
        <v/>
      </c>
      <c r="B974" s="3"/>
      <c r="C974" s="22"/>
      <c r="D974" s="4" t="str">
        <f>IF(C974="","",IFERROR(VLOOKUP(C974,'Calibrated Tools Register'!B:C,2,FALSE),"NOT registered"))</f>
        <v/>
      </c>
      <c r="E974" s="3"/>
      <c r="F974" s="4"/>
      <c r="G974" s="3"/>
      <c r="H974" s="3" t="str">
        <f ca="1">IFERROR(VLOOKUP(C974,'Calibrated Tools Register'!B:M,12,FALSE)-TODAY(),"")</f>
        <v/>
      </c>
      <c r="I974" s="3" t="str">
        <f t="shared" ca="1" si="31"/>
        <v/>
      </c>
      <c r="J974" s="3"/>
      <c r="K974" s="4"/>
      <c r="L974" s="3"/>
      <c r="M974" s="4"/>
      <c r="N974" s="4"/>
      <c r="O974" s="4"/>
    </row>
    <row r="975" spans="1:15">
      <c r="A975" s="3" t="str">
        <f t="shared" si="30"/>
        <v/>
      </c>
      <c r="B975" s="5"/>
      <c r="C975" s="23"/>
      <c r="D975" s="4" t="str">
        <f>IF(C975="","",IFERROR(VLOOKUP(C975,'Calibrated Tools Register'!B:C,2,FALSE),"NOT registered"))</f>
        <v/>
      </c>
      <c r="E975" s="5"/>
      <c r="F975" s="6"/>
      <c r="G975" s="5"/>
      <c r="H975" s="5" t="str">
        <f ca="1">IFERROR(VLOOKUP(C975,'Calibrated Tools Register'!B:M,12,FALSE)-TODAY(),"")</f>
        <v/>
      </c>
      <c r="I975" s="3" t="str">
        <f t="shared" ca="1" si="31"/>
        <v/>
      </c>
      <c r="J975" s="5"/>
      <c r="K975" s="6"/>
      <c r="L975" s="5"/>
      <c r="M975" s="6"/>
      <c r="N975" s="6"/>
      <c r="O975" s="6"/>
    </row>
    <row r="976" spans="1:15">
      <c r="A976" s="3" t="str">
        <f t="shared" si="30"/>
        <v/>
      </c>
      <c r="B976" s="3"/>
      <c r="C976" s="22"/>
      <c r="D976" s="4" t="str">
        <f>IF(C976="","",IFERROR(VLOOKUP(C976,'Calibrated Tools Register'!B:C,2,FALSE),"NOT registered"))</f>
        <v/>
      </c>
      <c r="E976" s="3"/>
      <c r="F976" s="4"/>
      <c r="G976" s="3"/>
      <c r="H976" s="3" t="str">
        <f ca="1">IFERROR(VLOOKUP(C976,'Calibrated Tools Register'!B:M,12,FALSE)-TODAY(),"")</f>
        <v/>
      </c>
      <c r="I976" s="3" t="str">
        <f t="shared" ca="1" si="31"/>
        <v/>
      </c>
      <c r="J976" s="3"/>
      <c r="K976" s="4"/>
      <c r="L976" s="3"/>
      <c r="M976" s="4"/>
      <c r="N976" s="4"/>
      <c r="O976" s="4"/>
    </row>
    <row r="977" spans="1:15">
      <c r="A977" s="3" t="str">
        <f t="shared" si="30"/>
        <v/>
      </c>
      <c r="B977" s="5"/>
      <c r="C977" s="23"/>
      <c r="D977" s="4" t="str">
        <f>IF(C977="","",IFERROR(VLOOKUP(C977,'Calibrated Tools Register'!B:C,2,FALSE),"NOT registered"))</f>
        <v/>
      </c>
      <c r="E977" s="5"/>
      <c r="F977" s="6"/>
      <c r="G977" s="5"/>
      <c r="H977" s="5" t="str">
        <f ca="1">IFERROR(VLOOKUP(C977,'Calibrated Tools Register'!B:M,12,FALSE)-TODAY(),"")</f>
        <v/>
      </c>
      <c r="I977" s="3" t="str">
        <f t="shared" ca="1" si="31"/>
        <v/>
      </c>
      <c r="J977" s="5"/>
      <c r="K977" s="6"/>
      <c r="L977" s="5"/>
      <c r="M977" s="6"/>
      <c r="N977" s="6"/>
      <c r="O977" s="6"/>
    </row>
    <row r="978" spans="1:15">
      <c r="A978" s="3" t="str">
        <f t="shared" si="30"/>
        <v/>
      </c>
      <c r="B978" s="3"/>
      <c r="C978" s="22"/>
      <c r="D978" s="4" t="str">
        <f>IF(C978="","",IFERROR(VLOOKUP(C978,'Calibrated Tools Register'!B:C,2,FALSE),"NOT registered"))</f>
        <v/>
      </c>
      <c r="E978" s="3"/>
      <c r="F978" s="4"/>
      <c r="G978" s="3"/>
      <c r="H978" s="3" t="str">
        <f ca="1">IFERROR(VLOOKUP(C978,'Calibrated Tools Register'!B:M,12,FALSE)-TODAY(),"")</f>
        <v/>
      </c>
      <c r="I978" s="3" t="str">
        <f t="shared" ca="1" si="31"/>
        <v/>
      </c>
      <c r="J978" s="3"/>
      <c r="K978" s="4"/>
      <c r="L978" s="3"/>
      <c r="M978" s="4"/>
      <c r="N978" s="4"/>
      <c r="O978" s="4"/>
    </row>
    <row r="979" spans="1:15">
      <c r="A979" s="3" t="str">
        <f t="shared" si="30"/>
        <v/>
      </c>
      <c r="B979" s="5"/>
      <c r="C979" s="23"/>
      <c r="D979" s="4" t="str">
        <f>IF(C979="","",IFERROR(VLOOKUP(C979,'Calibrated Tools Register'!B:C,2,FALSE),"NOT registered"))</f>
        <v/>
      </c>
      <c r="E979" s="5"/>
      <c r="F979" s="6"/>
      <c r="G979" s="5"/>
      <c r="H979" s="5" t="str">
        <f ca="1">IFERROR(VLOOKUP(C979,'Calibrated Tools Register'!B:M,12,FALSE)-TODAY(),"")</f>
        <v/>
      </c>
      <c r="I979" s="3" t="str">
        <f t="shared" ca="1" si="31"/>
        <v/>
      </c>
      <c r="J979" s="5"/>
      <c r="K979" s="6"/>
      <c r="L979" s="5"/>
      <c r="M979" s="6"/>
      <c r="N979" s="6"/>
      <c r="O979" s="6"/>
    </row>
    <row r="980" spans="1:15">
      <c r="A980" s="3" t="str">
        <f t="shared" si="30"/>
        <v/>
      </c>
      <c r="B980" s="3"/>
      <c r="C980" s="22"/>
      <c r="D980" s="4" t="str">
        <f>IF(C980="","",IFERROR(VLOOKUP(C980,'Calibrated Tools Register'!B:C,2,FALSE),"NOT registered"))</f>
        <v/>
      </c>
      <c r="E980" s="3"/>
      <c r="F980" s="4"/>
      <c r="G980" s="3"/>
      <c r="H980" s="3" t="str">
        <f ca="1">IFERROR(VLOOKUP(C980,'Calibrated Tools Register'!B:M,12,FALSE)-TODAY(),"")</f>
        <v/>
      </c>
      <c r="I980" s="3" t="str">
        <f t="shared" ca="1" si="31"/>
        <v/>
      </c>
      <c r="J980" s="3"/>
      <c r="K980" s="4"/>
      <c r="L980" s="3"/>
      <c r="M980" s="4"/>
      <c r="N980" s="4"/>
      <c r="O980" s="4"/>
    </row>
    <row r="981" spans="1:15">
      <c r="A981" s="3" t="str">
        <f t="shared" si="30"/>
        <v/>
      </c>
      <c r="B981" s="5"/>
      <c r="C981" s="23"/>
      <c r="D981" s="4" t="str">
        <f>IF(C981="","",IFERROR(VLOOKUP(C981,'Calibrated Tools Register'!B:C,2,FALSE),"NOT registered"))</f>
        <v/>
      </c>
      <c r="E981" s="5"/>
      <c r="F981" s="6"/>
      <c r="G981" s="5"/>
      <c r="H981" s="5" t="str">
        <f ca="1">IFERROR(VLOOKUP(C981,'Calibrated Tools Register'!B:M,12,FALSE)-TODAY(),"")</f>
        <v/>
      </c>
      <c r="I981" s="3" t="str">
        <f t="shared" ca="1" si="31"/>
        <v/>
      </c>
      <c r="J981" s="5"/>
      <c r="K981" s="6"/>
      <c r="L981" s="5"/>
      <c r="M981" s="6"/>
      <c r="N981" s="6"/>
      <c r="O981" s="6"/>
    </row>
    <row r="982" spans="1:15">
      <c r="A982" s="3" t="str">
        <f t="shared" si="30"/>
        <v/>
      </c>
      <c r="B982" s="3"/>
      <c r="C982" s="22"/>
      <c r="D982" s="4" t="str">
        <f>IF(C982="","",IFERROR(VLOOKUP(C982,'Calibrated Tools Register'!B:C,2,FALSE),"NOT registered"))</f>
        <v/>
      </c>
      <c r="E982" s="3"/>
      <c r="F982" s="4"/>
      <c r="G982" s="3"/>
      <c r="H982" s="3" t="str">
        <f ca="1">IFERROR(VLOOKUP(C982,'Calibrated Tools Register'!B:M,12,FALSE)-TODAY(),"")</f>
        <v/>
      </c>
      <c r="I982" s="3" t="str">
        <f t="shared" ca="1" si="31"/>
        <v/>
      </c>
      <c r="J982" s="3"/>
      <c r="K982" s="4"/>
      <c r="L982" s="3"/>
      <c r="M982" s="4"/>
      <c r="N982" s="4"/>
      <c r="O982" s="4"/>
    </row>
    <row r="983" spans="1:15">
      <c r="A983" s="3" t="str">
        <f t="shared" si="30"/>
        <v/>
      </c>
      <c r="B983" s="5"/>
      <c r="C983" s="23"/>
      <c r="D983" s="4" t="str">
        <f>IF(C983="","",IFERROR(VLOOKUP(C983,'Calibrated Tools Register'!B:C,2,FALSE),"NOT registered"))</f>
        <v/>
      </c>
      <c r="E983" s="5"/>
      <c r="F983" s="6"/>
      <c r="G983" s="5"/>
      <c r="H983" s="5" t="str">
        <f ca="1">IFERROR(VLOOKUP(C983,'Calibrated Tools Register'!B:M,12,FALSE)-TODAY(),"")</f>
        <v/>
      </c>
      <c r="I983" s="3" t="str">
        <f t="shared" ca="1" si="31"/>
        <v/>
      </c>
      <c r="J983" s="5"/>
      <c r="K983" s="6"/>
      <c r="L983" s="5"/>
      <c r="M983" s="6"/>
      <c r="N983" s="6"/>
      <c r="O983" s="6"/>
    </row>
    <row r="984" spans="1:15">
      <c r="A984" s="3" t="str">
        <f t="shared" si="30"/>
        <v/>
      </c>
      <c r="B984" s="3"/>
      <c r="C984" s="22"/>
      <c r="D984" s="4" t="str">
        <f>IF(C984="","",IFERROR(VLOOKUP(C984,'Calibrated Tools Register'!B:C,2,FALSE),"NOT registered"))</f>
        <v/>
      </c>
      <c r="E984" s="3"/>
      <c r="F984" s="4"/>
      <c r="G984" s="3"/>
      <c r="H984" s="3" t="str">
        <f ca="1">IFERROR(VLOOKUP(C984,'Calibrated Tools Register'!B:M,12,FALSE)-TODAY(),"")</f>
        <v/>
      </c>
      <c r="I984" s="3" t="str">
        <f t="shared" ca="1" si="31"/>
        <v/>
      </c>
      <c r="J984" s="3"/>
      <c r="K984" s="4"/>
      <c r="L984" s="3"/>
      <c r="M984" s="4"/>
      <c r="N984" s="4"/>
      <c r="O984" s="4"/>
    </row>
    <row r="985" spans="1:15">
      <c r="A985" s="3" t="str">
        <f t="shared" si="30"/>
        <v/>
      </c>
      <c r="B985" s="5"/>
      <c r="C985" s="23"/>
      <c r="D985" s="4" t="str">
        <f>IF(C985="","",IFERROR(VLOOKUP(C985,'Calibrated Tools Register'!B:C,2,FALSE),"NOT registered"))</f>
        <v/>
      </c>
      <c r="E985" s="5"/>
      <c r="F985" s="6"/>
      <c r="G985" s="5"/>
      <c r="H985" s="5" t="str">
        <f ca="1">IFERROR(VLOOKUP(C985,'Calibrated Tools Register'!B:M,12,FALSE)-TODAY(),"")</f>
        <v/>
      </c>
      <c r="I985" s="3" t="str">
        <f t="shared" ca="1" si="31"/>
        <v/>
      </c>
      <c r="J985" s="5"/>
      <c r="K985" s="6"/>
      <c r="L985" s="5"/>
      <c r="M985" s="6"/>
      <c r="N985" s="6"/>
      <c r="O985" s="6"/>
    </row>
    <row r="986" spans="1:15">
      <c r="A986" s="3" t="str">
        <f t="shared" si="30"/>
        <v/>
      </c>
      <c r="B986" s="3"/>
      <c r="C986" s="22"/>
      <c r="D986" s="4" t="str">
        <f>IF(C986="","",IFERROR(VLOOKUP(C986,'Calibrated Tools Register'!B:C,2,FALSE),"NOT registered"))</f>
        <v/>
      </c>
      <c r="E986" s="3"/>
      <c r="F986" s="4"/>
      <c r="G986" s="3"/>
      <c r="H986" s="3" t="str">
        <f ca="1">IFERROR(VLOOKUP(C986,'Calibrated Tools Register'!B:M,12,FALSE)-TODAY(),"")</f>
        <v/>
      </c>
      <c r="I986" s="3" t="str">
        <f t="shared" ca="1" si="31"/>
        <v/>
      </c>
      <c r="J986" s="3"/>
      <c r="K986" s="4"/>
      <c r="L986" s="3"/>
      <c r="M986" s="4"/>
      <c r="N986" s="4"/>
      <c r="O986" s="4"/>
    </row>
    <row r="987" spans="1:15">
      <c r="A987" s="3" t="str">
        <f t="shared" si="30"/>
        <v/>
      </c>
      <c r="B987" s="5"/>
      <c r="C987" s="23"/>
      <c r="D987" s="4" t="str">
        <f>IF(C987="","",IFERROR(VLOOKUP(C987,'Calibrated Tools Register'!B:C,2,FALSE),"NOT registered"))</f>
        <v/>
      </c>
      <c r="E987" s="5"/>
      <c r="F987" s="6"/>
      <c r="G987" s="5"/>
      <c r="H987" s="5" t="str">
        <f ca="1">IFERROR(VLOOKUP(C987,'Calibrated Tools Register'!B:M,12,FALSE)-TODAY(),"")</f>
        <v/>
      </c>
      <c r="I987" s="3" t="str">
        <f t="shared" ca="1" si="31"/>
        <v/>
      </c>
      <c r="J987" s="5"/>
      <c r="K987" s="6"/>
      <c r="L987" s="5"/>
      <c r="M987" s="6"/>
      <c r="N987" s="6"/>
      <c r="O987" s="6"/>
    </row>
    <row r="988" spans="1:15">
      <c r="A988" s="3" t="str">
        <f t="shared" si="30"/>
        <v/>
      </c>
      <c r="B988" s="3"/>
      <c r="C988" s="22"/>
      <c r="D988" s="4" t="str">
        <f>IF(C988="","",IFERROR(VLOOKUP(C988,'Calibrated Tools Register'!B:C,2,FALSE),"NOT registered"))</f>
        <v/>
      </c>
      <c r="E988" s="3"/>
      <c r="F988" s="4"/>
      <c r="G988" s="3"/>
      <c r="H988" s="3" t="str">
        <f ca="1">IFERROR(VLOOKUP(C988,'Calibrated Tools Register'!B:M,12,FALSE)-TODAY(),"")</f>
        <v/>
      </c>
      <c r="I988" s="3" t="str">
        <f t="shared" ca="1" si="31"/>
        <v/>
      </c>
      <c r="J988" s="3"/>
      <c r="K988" s="4"/>
      <c r="L988" s="3"/>
      <c r="M988" s="4"/>
      <c r="N988" s="4"/>
      <c r="O988" s="4"/>
    </row>
    <row r="989" spans="1:15">
      <c r="A989" s="3" t="str">
        <f t="shared" si="30"/>
        <v/>
      </c>
      <c r="B989" s="5"/>
      <c r="C989" s="23"/>
      <c r="D989" s="4" t="str">
        <f>IF(C989="","",IFERROR(VLOOKUP(C989,'Calibrated Tools Register'!B:C,2,FALSE),"NOT registered"))</f>
        <v/>
      </c>
      <c r="E989" s="5"/>
      <c r="F989" s="6"/>
      <c r="G989" s="5"/>
      <c r="H989" s="5" t="str">
        <f ca="1">IFERROR(VLOOKUP(C989,'Calibrated Tools Register'!B:M,12,FALSE)-TODAY(),"")</f>
        <v/>
      </c>
      <c r="I989" s="3" t="str">
        <f t="shared" ca="1" si="31"/>
        <v/>
      </c>
      <c r="J989" s="5"/>
      <c r="K989" s="6"/>
      <c r="L989" s="5"/>
      <c r="M989" s="6"/>
      <c r="N989" s="6"/>
      <c r="O989" s="6"/>
    </row>
    <row r="990" spans="1:15">
      <c r="A990" s="3" t="str">
        <f t="shared" si="30"/>
        <v/>
      </c>
      <c r="B990" s="3"/>
      <c r="C990" s="22"/>
      <c r="D990" s="4" t="str">
        <f>IF(C990="","",IFERROR(VLOOKUP(C990,'Calibrated Tools Register'!B:C,2,FALSE),"NOT registered"))</f>
        <v/>
      </c>
      <c r="E990" s="3"/>
      <c r="F990" s="4"/>
      <c r="G990" s="3"/>
      <c r="H990" s="3" t="str">
        <f ca="1">IFERROR(VLOOKUP(C990,'Calibrated Tools Register'!B:M,12,FALSE)-TODAY(),"")</f>
        <v/>
      </c>
      <c r="I990" s="3" t="str">
        <f t="shared" ca="1" si="31"/>
        <v/>
      </c>
      <c r="J990" s="3"/>
      <c r="K990" s="4"/>
      <c r="L990" s="3"/>
      <c r="M990" s="4"/>
      <c r="N990" s="4"/>
      <c r="O990" s="4"/>
    </row>
    <row r="991" spans="1:15">
      <c r="A991" s="3" t="str">
        <f t="shared" si="30"/>
        <v/>
      </c>
      <c r="B991" s="5"/>
      <c r="C991" s="23"/>
      <c r="D991" s="4" t="str">
        <f>IF(C991="","",IFERROR(VLOOKUP(C991,'Calibrated Tools Register'!B:C,2,FALSE),"NOT registered"))</f>
        <v/>
      </c>
      <c r="E991" s="5"/>
      <c r="F991" s="6"/>
      <c r="G991" s="5"/>
      <c r="H991" s="5" t="str">
        <f ca="1">IFERROR(VLOOKUP(C991,'Calibrated Tools Register'!B:M,12,FALSE)-TODAY(),"")</f>
        <v/>
      </c>
      <c r="I991" s="3" t="str">
        <f t="shared" ca="1" si="31"/>
        <v/>
      </c>
      <c r="J991" s="5"/>
      <c r="K991" s="6"/>
      <c r="L991" s="5"/>
      <c r="M991" s="6"/>
      <c r="N991" s="6"/>
      <c r="O991" s="6"/>
    </row>
    <row r="992" spans="1:15">
      <c r="A992" s="3" t="str">
        <f t="shared" si="30"/>
        <v/>
      </c>
      <c r="B992" s="3"/>
      <c r="C992" s="22"/>
      <c r="D992" s="4" t="str">
        <f>IF(C992="","",IFERROR(VLOOKUP(C992,'Calibrated Tools Register'!B:C,2,FALSE),"NOT registered"))</f>
        <v/>
      </c>
      <c r="E992" s="3"/>
      <c r="F992" s="4"/>
      <c r="G992" s="3"/>
      <c r="H992" s="3" t="str">
        <f ca="1">IFERROR(VLOOKUP(C992,'Calibrated Tools Register'!B:M,12,FALSE)-TODAY(),"")</f>
        <v/>
      </c>
      <c r="I992" s="3" t="str">
        <f t="shared" ca="1" si="31"/>
        <v/>
      </c>
      <c r="J992" s="3"/>
      <c r="K992" s="4"/>
      <c r="L992" s="3"/>
      <c r="M992" s="4"/>
      <c r="N992" s="4"/>
      <c r="O992" s="4"/>
    </row>
    <row r="993" spans="1:15">
      <c r="A993" s="3" t="str">
        <f t="shared" si="30"/>
        <v/>
      </c>
      <c r="B993" s="5"/>
      <c r="C993" s="23"/>
      <c r="D993" s="4" t="str">
        <f>IF(C993="","",IFERROR(VLOOKUP(C993,'Calibrated Tools Register'!B:C,2,FALSE),"NOT registered"))</f>
        <v/>
      </c>
      <c r="E993" s="5"/>
      <c r="F993" s="6"/>
      <c r="G993" s="5"/>
      <c r="H993" s="5" t="str">
        <f ca="1">IFERROR(VLOOKUP(C993,'Calibrated Tools Register'!B:M,12,FALSE)-TODAY(),"")</f>
        <v/>
      </c>
      <c r="I993" s="3" t="str">
        <f t="shared" ca="1" si="31"/>
        <v/>
      </c>
      <c r="J993" s="5"/>
      <c r="K993" s="6"/>
      <c r="L993" s="5"/>
      <c r="M993" s="6"/>
      <c r="N993" s="6"/>
      <c r="O993" s="6"/>
    </row>
    <row r="994" spans="1:15">
      <c r="A994" s="3" t="str">
        <f t="shared" si="30"/>
        <v/>
      </c>
      <c r="B994" s="3"/>
      <c r="C994" s="22"/>
      <c r="D994" s="4" t="str">
        <f>IF(C994="","",IFERROR(VLOOKUP(C994,'Calibrated Tools Register'!B:C,2,FALSE),"NOT registered"))</f>
        <v/>
      </c>
      <c r="E994" s="3"/>
      <c r="F994" s="4"/>
      <c r="G994" s="3"/>
      <c r="H994" s="3" t="str">
        <f ca="1">IFERROR(VLOOKUP(C994,'Calibrated Tools Register'!B:M,12,FALSE)-TODAY(),"")</f>
        <v/>
      </c>
      <c r="I994" s="3" t="str">
        <f t="shared" ca="1" si="31"/>
        <v/>
      </c>
      <c r="J994" s="3"/>
      <c r="K994" s="4"/>
      <c r="L994" s="3"/>
      <c r="M994" s="4"/>
      <c r="N994" s="4"/>
      <c r="O994" s="4"/>
    </row>
    <row r="995" spans="1:15">
      <c r="A995" s="3" t="str">
        <f t="shared" si="30"/>
        <v/>
      </c>
      <c r="B995" s="5"/>
      <c r="C995" s="23"/>
      <c r="D995" s="4" t="str">
        <f>IF(C995="","",IFERROR(VLOOKUP(C995,'Calibrated Tools Register'!B:C,2,FALSE),"NOT registered"))</f>
        <v/>
      </c>
      <c r="E995" s="5"/>
      <c r="F995" s="6"/>
      <c r="G995" s="5"/>
      <c r="H995" s="5" t="str">
        <f ca="1">IFERROR(VLOOKUP(C995,'Calibrated Tools Register'!B:M,12,FALSE)-TODAY(),"")</f>
        <v/>
      </c>
      <c r="I995" s="3" t="str">
        <f t="shared" ca="1" si="31"/>
        <v/>
      </c>
      <c r="J995" s="5"/>
      <c r="K995" s="6"/>
      <c r="L995" s="5"/>
      <c r="M995" s="6"/>
      <c r="N995" s="6"/>
      <c r="O995" s="6"/>
    </row>
    <row r="996" spans="1:15">
      <c r="A996" s="3" t="str">
        <f t="shared" si="30"/>
        <v/>
      </c>
      <c r="B996" s="3"/>
      <c r="C996" s="22"/>
      <c r="D996" s="4" t="str">
        <f>IF(C996="","",IFERROR(VLOOKUP(C996,'Calibrated Tools Register'!B:C,2,FALSE),"NOT registered"))</f>
        <v/>
      </c>
      <c r="E996" s="3"/>
      <c r="F996" s="4"/>
      <c r="G996" s="3"/>
      <c r="H996" s="3" t="str">
        <f ca="1">IFERROR(VLOOKUP(C996,'Calibrated Tools Register'!B:M,12,FALSE)-TODAY(),"")</f>
        <v/>
      </c>
      <c r="I996" s="3" t="str">
        <f t="shared" ca="1" si="31"/>
        <v/>
      </c>
      <c r="J996" s="3"/>
      <c r="K996" s="4"/>
      <c r="L996" s="3"/>
      <c r="M996" s="4"/>
      <c r="N996" s="4"/>
      <c r="O996" s="4"/>
    </row>
    <row r="997" spans="1:15">
      <c r="A997" s="3" t="str">
        <f t="shared" si="30"/>
        <v/>
      </c>
      <c r="B997" s="5"/>
      <c r="C997" s="23"/>
      <c r="D997" s="4" t="str">
        <f>IF(C997="","",IFERROR(VLOOKUP(C997,'Calibrated Tools Register'!B:C,2,FALSE),"NOT registered"))</f>
        <v/>
      </c>
      <c r="E997" s="5"/>
      <c r="F997" s="6"/>
      <c r="G997" s="5"/>
      <c r="H997" s="5" t="str">
        <f ca="1">IFERROR(VLOOKUP(C997,'Calibrated Tools Register'!B:M,12,FALSE)-TODAY(),"")</f>
        <v/>
      </c>
      <c r="I997" s="3" t="str">
        <f t="shared" ca="1" si="31"/>
        <v/>
      </c>
      <c r="J997" s="5"/>
      <c r="K997" s="6"/>
      <c r="L997" s="5"/>
      <c r="M997" s="6"/>
      <c r="N997" s="6"/>
      <c r="O997" s="6"/>
    </row>
    <row r="998" spans="1:15">
      <c r="A998" s="3" t="str">
        <f t="shared" si="30"/>
        <v/>
      </c>
      <c r="B998" s="3"/>
      <c r="C998" s="22"/>
      <c r="D998" s="4" t="str">
        <f>IF(C998="","",IFERROR(VLOOKUP(C998,'Calibrated Tools Register'!B:C,2,FALSE),"NOT registered"))</f>
        <v/>
      </c>
      <c r="E998" s="3"/>
      <c r="F998" s="4"/>
      <c r="G998" s="3"/>
      <c r="H998" s="3" t="str">
        <f ca="1">IFERROR(VLOOKUP(C998,'Calibrated Tools Register'!B:M,12,FALSE)-TODAY(),"")</f>
        <v/>
      </c>
      <c r="I998" s="3" t="str">
        <f t="shared" ca="1" si="31"/>
        <v/>
      </c>
      <c r="J998" s="3"/>
      <c r="K998" s="4"/>
      <c r="L998" s="3"/>
      <c r="M998" s="4"/>
      <c r="N998" s="4"/>
      <c r="O998" s="4"/>
    </row>
    <row r="999" spans="1:15">
      <c r="A999" s="3" t="str">
        <f t="shared" si="30"/>
        <v/>
      </c>
      <c r="B999" s="5"/>
      <c r="C999" s="23"/>
      <c r="D999" s="4" t="str">
        <f>IF(C999="","",IFERROR(VLOOKUP(C999,'Calibrated Tools Register'!B:C,2,FALSE),"NOT registered"))</f>
        <v/>
      </c>
      <c r="E999" s="5"/>
      <c r="F999" s="6"/>
      <c r="G999" s="5"/>
      <c r="H999" s="5" t="str">
        <f ca="1">IFERROR(VLOOKUP(C999,'Calibrated Tools Register'!B:M,12,FALSE)-TODAY(),"")</f>
        <v/>
      </c>
      <c r="I999" s="3" t="str">
        <f t="shared" ca="1" si="31"/>
        <v/>
      </c>
      <c r="J999" s="5"/>
      <c r="K999" s="6"/>
      <c r="L999" s="5"/>
      <c r="M999" s="6"/>
      <c r="N999" s="6"/>
      <c r="O999" s="6"/>
    </row>
    <row r="1000" spans="1:15">
      <c r="A1000" s="3" t="str">
        <f t="shared" si="30"/>
        <v/>
      </c>
      <c r="B1000" s="3"/>
      <c r="C1000" s="22"/>
      <c r="D1000" s="4" t="str">
        <f>IF(C1000="","",IFERROR(VLOOKUP(C1000,'Calibrated Tools Register'!B:C,2,FALSE),"NOT registered"))</f>
        <v/>
      </c>
      <c r="E1000" s="3"/>
      <c r="F1000" s="4"/>
      <c r="G1000" s="3"/>
      <c r="H1000" s="3" t="str">
        <f ca="1">IFERROR(VLOOKUP(C1000,'Calibrated Tools Register'!B:M,12,FALSE)-TODAY(),"")</f>
        <v/>
      </c>
      <c r="I1000" s="3" t="str">
        <f t="shared" ca="1" si="31"/>
        <v/>
      </c>
      <c r="J1000" s="3"/>
      <c r="K1000" s="4"/>
      <c r="L1000" s="3"/>
      <c r="M1000" s="4"/>
      <c r="N1000" s="4"/>
      <c r="O1000" s="4"/>
    </row>
    <row r="1001" spans="1:15">
      <c r="A1001" s="3" t="str">
        <f t="shared" si="30"/>
        <v/>
      </c>
      <c r="B1001" s="5"/>
      <c r="C1001" s="23"/>
      <c r="D1001" s="4" t="str">
        <f>IF(C1001="","",IFERROR(VLOOKUP(C1001,'Calibrated Tools Register'!B:C,2,FALSE),"NOT registered"))</f>
        <v/>
      </c>
      <c r="E1001" s="5"/>
      <c r="F1001" s="6"/>
      <c r="G1001" s="5"/>
      <c r="H1001" s="5" t="str">
        <f ca="1">IFERROR(VLOOKUP(C1001,'Calibrated Tools Register'!B:M,12,FALSE)-TODAY(),"")</f>
        <v/>
      </c>
      <c r="I1001" s="3" t="str">
        <f t="shared" ca="1" si="31"/>
        <v/>
      </c>
      <c r="J1001" s="5"/>
      <c r="K1001" s="6"/>
      <c r="L1001" s="5"/>
      <c r="M1001" s="6"/>
      <c r="N1001" s="6"/>
      <c r="O1001" s="6"/>
    </row>
    <row r="1002" spans="1:15">
      <c r="A1002" s="3" t="str">
        <f t="shared" si="30"/>
        <v/>
      </c>
      <c r="B1002" s="3"/>
      <c r="C1002" s="22"/>
      <c r="D1002" s="4" t="str">
        <f>IF(C1002="","",IFERROR(VLOOKUP(C1002,'Calibrated Tools Register'!B:C,2,FALSE),"NOT registered"))</f>
        <v/>
      </c>
      <c r="E1002" s="3"/>
      <c r="F1002" s="4"/>
      <c r="G1002" s="3"/>
      <c r="H1002" s="3" t="str">
        <f ca="1">IFERROR(VLOOKUP(C1002,'Calibrated Tools Register'!B:M,12,FALSE)-TODAY(),"")</f>
        <v/>
      </c>
      <c r="I1002" s="3" t="str">
        <f t="shared" ca="1" si="31"/>
        <v/>
      </c>
      <c r="J1002" s="3"/>
      <c r="K1002" s="4"/>
      <c r="L1002" s="3"/>
      <c r="M1002" s="4"/>
      <c r="N1002" s="4"/>
      <c r="O1002" s="4"/>
    </row>
    <row r="1003" spans="1:15">
      <c r="A1003" s="3" t="str">
        <f t="shared" si="30"/>
        <v/>
      </c>
      <c r="B1003" s="5"/>
      <c r="C1003" s="23"/>
      <c r="D1003" s="4" t="str">
        <f>IF(C1003="","",IFERROR(VLOOKUP(C1003,'Calibrated Tools Register'!B:C,2,FALSE),"NOT registered"))</f>
        <v/>
      </c>
      <c r="E1003" s="5"/>
      <c r="F1003" s="6"/>
      <c r="G1003" s="5"/>
      <c r="H1003" s="5" t="str">
        <f ca="1">IFERROR(VLOOKUP(C1003,'Calibrated Tools Register'!B:M,12,FALSE)-TODAY(),"")</f>
        <v/>
      </c>
      <c r="I1003" s="3" t="str">
        <f t="shared" ca="1" si="31"/>
        <v/>
      </c>
      <c r="J1003" s="5"/>
      <c r="K1003" s="6"/>
      <c r="L1003" s="5"/>
      <c r="M1003" s="6"/>
      <c r="N1003" s="6"/>
      <c r="O1003" s="6"/>
    </row>
  </sheetData>
  <mergeCells count="1">
    <mergeCell ref="A1:O1"/>
  </mergeCells>
  <conditionalFormatting pivot="1" sqref="D4:D1003">
    <cfRule type="cellIs" dxfId="7" priority="1" operator="equal">
      <formula>"NOT registered"</formula>
    </cfRule>
  </conditionalFormatting>
  <conditionalFormatting pivot="1" sqref="I4:I1003">
    <cfRule type="cellIs" dxfId="6" priority="2" operator="equal">
      <formula>"Urgent"</formula>
    </cfRule>
    <cfRule type="cellIs" dxfId="5" priority="3" operator="equal">
      <formula>"High"</formula>
    </cfRule>
    <cfRule type="cellIs" dxfId="4" priority="4" operator="equal">
      <formula>"Medium"</formula>
    </cfRule>
    <cfRule type="cellIs" dxfId="3" priority="5" operator="equal">
      <formula>"Low"</formula>
    </cfRule>
  </conditionalFormatting>
  <conditionalFormatting pivot="1" sqref="J4:J1003">
    <cfRule type="cellIs" dxfId="2" priority="6" operator="equal">
      <formula>"Calibrated"</formula>
    </cfRule>
    <cfRule type="cellIs" dxfId="1" priority="7" operator="equal">
      <formula>"Sent for calibration"</formula>
    </cfRule>
    <cfRule type="cellIs" dxfId="0" priority="8" operator="equal">
      <formula>"Scheduled for calibration"</formula>
    </cfRule>
  </conditionalFormatting>
  <dataValidations count="3">
    <dataValidation type="list" allowBlank="1" errorTitle="Invalid Status" error="Please select: Calibrated, Sent for calibration, or Scheduled for calibration" sqref="J4:J1003" xr:uid="{00000000-0002-0000-0100-000000000000}">
      <formula1>"Calibrated,Sent for calibration,Scheduled for calibration"</formula1>
    </dataValidation>
    <dataValidation type="list" allowBlank="1" sqref="E4:E1003" xr:uid="{00000000-0002-0000-0100-000001000000}">
      <formula1>"Measuring Tool,Testing Tool,Torque Tool,Weighing Tool,Environmental Monitoring,Material Testing,Electrical Tool,Temperature Tool"</formula1>
    </dataValidation>
    <dataValidation type="list" allowBlank="1" sqref="N4:N1003" xr:uid="{00000000-0002-0000-0100-000002000000}">
      <formula1>"Pass,Failed,Pending"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33"/>
  <sheetViews>
    <sheetView workbookViewId="0">
      <selection activeCell="A15" sqref="A15"/>
    </sheetView>
  </sheetViews>
  <sheetFormatPr defaultRowHeight="14.5"/>
  <cols>
    <col min="1" max="1" width="24" customWidth="1"/>
    <col min="2" max="3" width="12" customWidth="1"/>
    <col min="4" max="4" width="42" customWidth="1"/>
  </cols>
  <sheetData>
    <row r="1" spans="1:4" ht="40" customHeight="1">
      <c r="A1" s="91" t="s">
        <v>53</v>
      </c>
      <c r="B1" s="56"/>
      <c r="C1" s="56"/>
      <c r="D1" s="56"/>
    </row>
    <row r="2" spans="1:4" ht="16.5" customHeight="1">
      <c r="A2" s="8" t="s">
        <v>54</v>
      </c>
    </row>
    <row r="3" spans="1:4">
      <c r="A3" s="9" t="s">
        <v>55</v>
      </c>
      <c r="B3" s="9" t="s">
        <v>56</v>
      </c>
      <c r="C3" s="9" t="s">
        <v>57</v>
      </c>
      <c r="D3" s="9" t="s">
        <v>58</v>
      </c>
    </row>
    <row r="4" spans="1:4">
      <c r="A4" s="10" t="s">
        <v>59</v>
      </c>
      <c r="B4" s="3">
        <f>COUNTA('Calibrated Tools Register'!B4:B503)</f>
        <v>236</v>
      </c>
      <c r="C4" s="11" t="s">
        <v>60</v>
      </c>
      <c r="D4" s="10" t="s">
        <v>61</v>
      </c>
    </row>
    <row r="5" spans="1:4">
      <c r="A5" s="10" t="s">
        <v>62</v>
      </c>
      <c r="B5" s="3">
        <f ca="1">COUNTIF('Calibrated Tools Register'!N4:N503,"Pass")</f>
        <v>7</v>
      </c>
      <c r="C5" s="12">
        <f ca="1">IF(B4=0,"",B5/B4)</f>
        <v>2.9661016949152543E-2</v>
      </c>
      <c r="D5" s="10" t="s">
        <v>63</v>
      </c>
    </row>
    <row r="6" spans="1:4">
      <c r="A6" s="10" t="s">
        <v>64</v>
      </c>
      <c r="B6" s="3">
        <f ca="1">COUNTIF('Calibrated Tools Register'!N4:N503,"Expired")</f>
        <v>99</v>
      </c>
      <c r="C6" s="13">
        <f ca="1">IF(B4=0,"",B6/B4)</f>
        <v>0.41949152542372881</v>
      </c>
      <c r="D6" s="10" t="s">
        <v>65</v>
      </c>
    </row>
    <row r="7" spans="1:4">
      <c r="A7" s="10" t="s">
        <v>66</v>
      </c>
      <c r="B7" s="3">
        <f ca="1">COUNTIF('Calibrated Tools Register'!N4:N503,"Expiring Soon")</f>
        <v>0</v>
      </c>
      <c r="C7" s="14">
        <f ca="1">IF(B4=0,"",B7/B4)</f>
        <v>0</v>
      </c>
      <c r="D7" s="10" t="s">
        <v>67</v>
      </c>
    </row>
    <row r="8" spans="1:4">
      <c r="A8" s="10" t="s">
        <v>68</v>
      </c>
      <c r="B8" s="3">
        <f ca="1">COUNTIF('Calibrated Tools Register'!N4:N503,"Sent for calibration")</f>
        <v>0</v>
      </c>
      <c r="C8" s="15">
        <f ca="1">IF(B4=0,"",B8/B4)</f>
        <v>0</v>
      </c>
      <c r="D8" s="10" t="s">
        <v>69</v>
      </c>
    </row>
    <row r="9" spans="1:4">
      <c r="A9" s="10" t="s">
        <v>70</v>
      </c>
      <c r="B9" s="3">
        <f ca="1">COUNTIF('Calibrated Tools Register'!N4:N503,"Scheduled for calibration")</f>
        <v>0</v>
      </c>
      <c r="C9" s="16">
        <f ca="1">IF(B4=0,"",B9/B4)</f>
        <v>0</v>
      </c>
      <c r="D9" s="10" t="s">
        <v>71</v>
      </c>
    </row>
    <row r="10" spans="1:4">
      <c r="A10" s="10" t="s">
        <v>72</v>
      </c>
      <c r="B10" s="3">
        <f ca="1">COUNTIF('Calibrated Tools Register'!N4:N503,"Failed")</f>
        <v>0</v>
      </c>
      <c r="C10" s="11">
        <f ca="1">IF(B4=0,"",B10/B4)</f>
        <v>0</v>
      </c>
      <c r="D10" s="10" t="s">
        <v>73</v>
      </c>
    </row>
    <row r="12" spans="1:4" ht="16.5" customHeight="1">
      <c r="A12" s="8" t="s">
        <v>74</v>
      </c>
    </row>
    <row r="13" spans="1:4">
      <c r="A13" s="9" t="s">
        <v>3</v>
      </c>
      <c r="B13" s="9" t="s">
        <v>56</v>
      </c>
      <c r="C13" s="9" t="s">
        <v>57</v>
      </c>
      <c r="D13" s="9" t="s">
        <v>16</v>
      </c>
    </row>
    <row r="14" spans="1:4" ht="15" customHeight="1">
      <c r="A14" s="17" t="s">
        <v>481</v>
      </c>
      <c r="B14" s="3">
        <f>COUNTIF('Calibrated Tools Register'!D4:D503,A14)</f>
        <v>16</v>
      </c>
      <c r="C14" s="11">
        <f>IF(B4=0,"",B14/B4)</f>
        <v>6.7796610169491525E-2</v>
      </c>
      <c r="D14" s="18"/>
    </row>
    <row r="15" spans="1:4" ht="15" customHeight="1">
      <c r="A15" s="17" t="s">
        <v>482</v>
      </c>
      <c r="B15" s="3">
        <f>COUNTIF('Calibrated Tools Register'!D4:D503,A15)</f>
        <v>2</v>
      </c>
      <c r="C15" s="11">
        <f>IF(B4=0,"",B15/B4)</f>
        <v>8.4745762711864406E-3</v>
      </c>
      <c r="D15" s="18"/>
    </row>
    <row r="16" spans="1:4" ht="15" customHeight="1">
      <c r="A16" s="17" t="s">
        <v>483</v>
      </c>
      <c r="B16" s="3">
        <f>COUNTIF('Calibrated Tools Register'!D4:D503,A16)</f>
        <v>54</v>
      </c>
      <c r="C16" s="11">
        <f>IF(B4=0,"",B16/B4)</f>
        <v>0.2288135593220339</v>
      </c>
      <c r="D16" s="18"/>
    </row>
    <row r="17" spans="1:4" ht="15" customHeight="1">
      <c r="A17" s="17" t="s">
        <v>32</v>
      </c>
      <c r="B17" s="3">
        <f>COUNTIF('Calibrated Tools Register'!D4:D503,A17)</f>
        <v>31</v>
      </c>
      <c r="C17" s="11">
        <f>IF(B4=0,"",B17/B4)</f>
        <v>0.13135593220338984</v>
      </c>
      <c r="D17" s="18"/>
    </row>
    <row r="18" spans="1:4" ht="15" customHeight="1">
      <c r="A18" s="17" t="s">
        <v>36</v>
      </c>
      <c r="B18" s="3">
        <f>COUNTIF('Calibrated Tools Register'!D4:D503,A18)</f>
        <v>71</v>
      </c>
      <c r="C18" s="11">
        <f>IF(B4=0,"",B18/B4)</f>
        <v>0.30084745762711862</v>
      </c>
      <c r="D18" s="18"/>
    </row>
    <row r="19" spans="1:4" ht="15" customHeight="1">
      <c r="A19" s="17" t="s">
        <v>484</v>
      </c>
      <c r="B19" s="3">
        <f>COUNTIF('Calibrated Tools Register'!D4:D503,A19)</f>
        <v>0</v>
      </c>
      <c r="C19" s="11">
        <f>IF(B4=0,"",B19/B4)</f>
        <v>0</v>
      </c>
      <c r="D19" s="18"/>
    </row>
    <row r="20" spans="1:4" ht="15" customHeight="1">
      <c r="A20" s="30"/>
      <c r="B20" s="31"/>
      <c r="C20" s="32"/>
    </row>
    <row r="21" spans="1:4" ht="15" customHeight="1">
      <c r="A21" s="30"/>
      <c r="B21" s="31"/>
      <c r="C21" s="32"/>
    </row>
    <row r="23" spans="1:4" ht="16.5" customHeight="1">
      <c r="A23" s="8" t="s">
        <v>75</v>
      </c>
    </row>
    <row r="24" spans="1:4">
      <c r="A24" s="19" t="s">
        <v>76</v>
      </c>
    </row>
    <row r="25" spans="1:4">
      <c r="A25" s="19" t="s">
        <v>77</v>
      </c>
    </row>
    <row r="26" spans="1:4">
      <c r="A26" s="19" t="s">
        <v>78</v>
      </c>
    </row>
    <row r="27" spans="1:4">
      <c r="A27" s="19" t="s">
        <v>79</v>
      </c>
    </row>
    <row r="28" spans="1:4">
      <c r="A28" s="19" t="s">
        <v>80</v>
      </c>
    </row>
    <row r="29" spans="1:4">
      <c r="A29" s="19" t="s">
        <v>87</v>
      </c>
    </row>
    <row r="30" spans="1:4">
      <c r="A30" s="19" t="s">
        <v>81</v>
      </c>
    </row>
    <row r="31" spans="1:4">
      <c r="A31" s="19" t="s">
        <v>82</v>
      </c>
    </row>
    <row r="32" spans="1:4">
      <c r="A32" s="19" t="s">
        <v>83</v>
      </c>
    </row>
    <row r="33" spans="1:1">
      <c r="A33" s="19" t="s">
        <v>84</v>
      </c>
    </row>
  </sheetData>
  <mergeCells count="1">
    <mergeCell ref="A1:D1"/>
  </mergeCells>
  <pageMargins left="0.75" right="0.75" top="1" bottom="1" header="0.5" footer="0.5"/>
  <ignoredErrors>
    <ignoredError sqref="C4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Calibrated Tools Register</vt:lpstr>
      <vt:lpstr>Calibration Schedule</vt:lpstr>
      <vt:lpstr>Calibration Status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Han, Xihao</cp:lastModifiedBy>
  <dcterms:created xsi:type="dcterms:W3CDTF">2026-09-18T01:59:31Z</dcterms:created>
  <dcterms:modified xsi:type="dcterms:W3CDTF">2026-09-26T02:00:04Z</dcterms:modified>
</cp:coreProperties>
</file>